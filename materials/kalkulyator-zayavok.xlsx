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асчёт" sheetId="1" state="visible" r:id="rId3"/>
    <sheet name="Журнал обращени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<sst xmlns="http://schemas.openxmlformats.org/spreadsheetml/2006/main" count="42" uniqueCount="41">
  <si>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Сколько денег вы теряете на заявках без быстрого ответа</t>
  </si>
  <si>
    <t xml:space="preserve">Заполните жёлтые ячейки здесь и журнал на второй вкладке. Остальное посчитается само. Примеры значений замените на свои.</t>
  </si>
  <si>
    <t xml:space="preserve">Ваши данные</t>
  </si>
  <si>
    <t xml:space="preserve">Средний чек, ₽</t>
  </si>
  <si>
    <t xml:space="preserve">Пример. Сумма средней продажи</t>
  </si>
  <si>
    <t xml:space="preserve">Быстрый ответ — это не дольше, минут</t>
  </si>
  <si>
    <t xml:space="preserve">Порог, после которого клиент уходит к тем, кто ответил первым. Можно поменять</t>
  </si>
  <si>
    <t xml:space="preserve">Конверсия заявки в продажу</t>
  </si>
  <si>
    <t xml:space="preserve">Пример. Из 100 заявок, на которые ответили вовремя, сколько покупают</t>
  </si>
  <si>
    <t xml:space="preserve">Какая часть «поздних» заявок теряется</t>
  </si>
  <si>
    <t xml:space="preserve">Допущение: половина тех, кому ответили поздно, уже купила у других. Поменяйте по своему опыту</t>
  </si>
  <si>
    <t xml:space="preserve">Из журнала обращений</t>
  </si>
  <si>
    <t xml:space="preserve">Всего обращений</t>
  </si>
  <si>
    <t xml:space="preserve">Считается по столбцу «Время обращения»</t>
  </si>
  <si>
    <t xml:space="preserve">Ответили быстро</t>
  </si>
  <si>
    <t xml:space="preserve">Ответили поздно</t>
  </si>
  <si>
    <t xml:space="preserve">Не ответили совсем</t>
  </si>
  <si>
    <t xml:space="preserve">Доля обращений без быстрого ответа</t>
  </si>
  <si>
    <t xml:space="preserve">Потери</t>
  </si>
  <si>
    <t xml:space="preserve">Потерянных заявок за неделю</t>
  </si>
  <si>
    <t xml:space="preserve">Без ответа + часть поздних</t>
  </si>
  <si>
    <t xml:space="preserve">Потерянных продаж за неделю</t>
  </si>
  <si>
    <t xml:space="preserve">Потери за неделю, ₽</t>
  </si>
  <si>
    <t xml:space="preserve">Потери за месяц, ₽</t>
  </si>
  <si>
    <t xml:space="preserve">Неделя × 52 ÷ 12</t>
  </si>
  <si>
    <t xml:space="preserve">Потери за год, ₽</t>
  </si>
  <si>
    <t xml:space="preserve">Что дальше: напишите мне в директ @vyachbur — покажу, как закрыть эти потери автоответом, ботом или простой CRM.</t>
  </si>
  <si>
    <t xml:space="preserve">Примеры в таблице условные. Расчёт — ориентир, а не точный прогноз.</t>
  </si>
  <si>
    <t xml:space="preserve">Журнал обращений за неделю — вписывайте каждое обращение (жёлтые столбцы). Серые столбцы считаются сами.</t>
  </si>
  <si>
    <t xml:space="preserve">Дата</t>
  </si>
  <si>
    <t xml:space="preserve">Канал</t>
  </si>
  <si>
    <t xml:space="preserve">Время обращения</t>
  </si>
  <si>
    <t xml:space="preserve">Время ответа</t>
  </si>
  <si>
    <t xml:space="preserve">Минут до ответа</t>
  </si>
  <si>
    <t xml:space="preserve">Статус ответа</t>
  </si>
  <si>
    <t xml:space="preserve">Купил? (да/нет)</t>
  </si>
  <si>
    <t xml:space="preserve">Мессенджер</t>
  </si>
  <si>
    <t xml:space="preserve">да</t>
  </si>
  <si>
    <t xml:space="preserve">Форма на сайте</t>
  </si>
  <si>
    <t xml:space="preserve">нет</t>
  </si>
  <si>
    <t xml:space="preserve">Звонок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</si>
</sst>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&quot; ₽&quot;"/>
    <numFmt numFmtId="166" formatCode="0"/>
    <numFmt numFmtId="167" formatCode="0%"/>
    <numFmt numFmtId="168" formatCode="0.0"/>
    <numFmt numFmtId="169" formatCode="dd\.mm\.yyyy"/>
    <numFmt numFmtId="170" formatCode="hh:mm"/>
    <numFmt numFmtId="171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88888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0B0C"/>
        <bgColor rgb="FF000000"/>
      </patternFill>
    </fill>
    <fill>
      <patternFill patternType="solid">
        <fgColor rgb="FFFFF59D"/>
        <bgColor rgb="FFFFFFCC"/>
      </patternFill>
    </fill>
    <fill>
      <patternFill patternType="solid">
        <fgColor rgb="FFC6F36B"/>
        <bgColor rgb="FFFFF5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4"/>
      </left>
      <right style="thin">
        <color rgb="FFD0D0D4"/>
      </right>
      <top style="thin">
        <color rgb="FFD0D0D4"/>
      </top>
      <bottom style="thin">
        <color rgb="FFD0D0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0D0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F36B"/>
      <rgbColor rgb="FFFFF59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B0B0C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3" min="3" style="0" width="20"/>
    <col collapsed="false" customWidth="true" hidden="false" outlineLevel="0" max="4" min="4" style="0" width="52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2"/>
      <c r="D3" s="2"/>
    </row>
    <row r="4" customFormat="false" ht="15" hidden="false" customHeight="false" outlineLevel="0" collapsed="false">
      <c r="B4" s="3" t="s">
        <v>2</v>
      </c>
      <c r="C4" s="4"/>
      <c r="D4" s="4"/>
    </row>
    <row r="5" customFormat="false" ht="30" hidden="false" customHeight="true" outlineLevel="0" collapsed="false">
      <c r="B5" s="5" t="s">
        <v>3</v>
      </c>
      <c r="C5" s="6" t="n">
        <v>15000</v>
      </c>
      <c r="D5" s="7" t="s">
        <v>4</v>
      </c>
    </row>
    <row r="6" customFormat="false" ht="30" hidden="false" customHeight="true" outlineLevel="0" collapsed="false">
      <c r="B6" s="5" t="s">
        <v>5</v>
      </c>
      <c r="C6" s="8" t="n">
        <v>15</v>
      </c>
      <c r="D6" s="7" t="s">
        <v>6</v>
      </c>
    </row>
    <row r="7" customFormat="false" ht="30" hidden="false" customHeight="true" outlineLevel="0" collapsed="false">
      <c r="B7" s="5" t="s">
        <v>7</v>
      </c>
      <c r="C7" s="9" t="n">
        <v>0.2</v>
      </c>
      <c r="D7" s="7" t="s">
        <v>8</v>
      </c>
    </row>
    <row r="8" customFormat="false" ht="30" hidden="false" customHeight="true" outlineLevel="0" collapsed="false">
      <c r="B8" s="5" t="s">
        <v>9</v>
      </c>
      <c r="C8" s="9" t="n">
        <v>0.5</v>
      </c>
      <c r="D8" s="7" t="s">
        <v>10</v>
      </c>
    </row>
    <row r="9" customFormat="false" ht="30" hidden="false" customHeight="true" outlineLevel="0" collapsed="false">
      <c r="B9" s="10"/>
      <c r="C9" s="11"/>
    </row>
    <row r="10" customFormat="false" ht="30" hidden="false" customHeight="true" outlineLevel="0" collapsed="false">
      <c r="B10" s="12" t="s">
        <v>11</v>
      </c>
      <c r="C10" s="13"/>
      <c r="D10" s="4"/>
    </row>
    <row r="11" customFormat="false" ht="30" hidden="false" customHeight="true" outlineLevel="0" collapsed="false">
      <c r="B11" s="5" t="s">
        <v>12</v>
      </c>
      <c r="C11" s="14" t="n">
        <f aca="false">COUNTA('Журнал обращений'!C3:C202)</f>
        <v>3</v>
      </c>
      <c r="D11" s="7" t="s">
        <v>13</v>
      </c>
    </row>
    <row r="12" customFormat="false" ht="30" hidden="false" customHeight="true" outlineLevel="0" collapsed="false">
      <c r="B12" s="5" t="s">
        <v>14</v>
      </c>
      <c r="C12" s="14" t="n">
        <f aca="false">COUNTIF('Журнал обращений'!F3:F202,"Быстро")</f>
        <v>1</v>
      </c>
      <c r="D12" s="7"/>
    </row>
    <row r="13" customFormat="false" ht="30" hidden="false" customHeight="true" outlineLevel="0" collapsed="false">
      <c r="B13" s="5" t="s">
        <v>15</v>
      </c>
      <c r="C13" s="14" t="n">
        <f aca="false">COUNTIF('Журнал обращений'!F3:F202,"Поздно")</f>
        <v>1</v>
      </c>
      <c r="D13" s="7"/>
    </row>
    <row r="14" customFormat="false" ht="30" hidden="false" customHeight="true" outlineLevel="0" collapsed="false">
      <c r="B14" s="5" t="s">
        <v>16</v>
      </c>
      <c r="C14" s="14" t="n">
        <f aca="false">COUNTIF('Журнал обращений'!F3:F202,"Нет ответа")</f>
        <v>1</v>
      </c>
      <c r="D14" s="7"/>
    </row>
    <row r="15" customFormat="false" ht="30" hidden="false" customHeight="true" outlineLevel="0" collapsed="false">
      <c r="B15" s="5" t="s">
        <v>17</v>
      </c>
      <c r="C15" s="15" t="n">
        <f aca="false">IF(C11=0,0,(C13+C14)/C11)</f>
        <v>0.666666666666667</v>
      </c>
      <c r="D15" s="7"/>
    </row>
    <row r="16" customFormat="false" ht="30" hidden="false" customHeight="true" outlineLevel="0" collapsed="false">
      <c r="B16" s="10"/>
      <c r="C16" s="11"/>
    </row>
    <row r="17" customFormat="false" ht="30" hidden="false" customHeight="true" outlineLevel="0" collapsed="false">
      <c r="B17" s="12" t="s">
        <v>18</v>
      </c>
      <c r="C17" s="13"/>
      <c r="D17" s="4"/>
    </row>
    <row r="18" customFormat="false" ht="30" hidden="false" customHeight="true" outlineLevel="0" collapsed="false">
      <c r="B18" s="16" t="s">
        <v>19</v>
      </c>
      <c r="C18" s="17" t="n">
        <f aca="false">C14+C13*C8</f>
        <v>1.5</v>
      </c>
      <c r="D18" s="7" t="s">
        <v>20</v>
      </c>
    </row>
    <row r="19" customFormat="false" ht="30" hidden="false" customHeight="true" outlineLevel="0" collapsed="false">
      <c r="B19" s="5" t="s">
        <v>21</v>
      </c>
      <c r="C19" s="18" t="n">
        <f aca="false">C18*C7</f>
        <v>0.3</v>
      </c>
      <c r="D19" s="7"/>
    </row>
    <row r="20" customFormat="false" ht="30" hidden="false" customHeight="true" outlineLevel="0" collapsed="false">
      <c r="B20" s="16" t="s">
        <v>22</v>
      </c>
      <c r="C20" s="19" t="n">
        <f aca="false">C19*C5</f>
        <v>4500</v>
      </c>
      <c r="D20" s="7"/>
    </row>
    <row r="21" customFormat="false" ht="30" hidden="false" customHeight="true" outlineLevel="0" collapsed="false">
      <c r="B21" s="16" t="s">
        <v>23</v>
      </c>
      <c r="C21" s="19" t="n">
        <f aca="false">C20*52/12</f>
        <v>19500</v>
      </c>
      <c r="D21" s="7" t="s">
        <v>24</v>
      </c>
    </row>
    <row r="22" customFormat="false" ht="30" hidden="false" customHeight="true" outlineLevel="0" collapsed="false">
      <c r="B22" s="16" t="s">
        <v>25</v>
      </c>
      <c r="C22" s="19" t="n">
        <f aca="false">C20*52</f>
        <v>234000</v>
      </c>
      <c r="D22" s="7"/>
    </row>
    <row r="24" customFormat="false" ht="15" hidden="false" customHeight="false" outlineLevel="0" collapsed="false">
      <c r="B24" s="20" t="s">
        <v>26</v>
      </c>
      <c r="C24" s="20"/>
      <c r="D24" s="20"/>
    </row>
    <row r="25" customFormat="false" ht="15" hidden="false" customHeight="false" outlineLevel="0" collapsed="false">
      <c r="B25" s="21" t="s">
        <v>27</v>
      </c>
      <c r="C25" s="21"/>
      <c r="D25" s="21"/>
    </row>
  </sheetData>
  <mergeCells count="3">
    <mergeCell ref="B3:D3"/>
    <mergeCell ref="B24:D2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7" min="4" style="0" width="15"/>
  </cols>
  <sheetData>
    <row r="1" customFormat="false" ht="15" hidden="false" customHeight="false" outlineLevel="0" collapsed="false">
      <c r="A1" s="22" t="s">
        <v>28</v>
      </c>
      <c r="B1" s="22"/>
      <c r="C1" s="22"/>
      <c r="D1" s="22"/>
      <c r="E1" s="22"/>
      <c r="F1" s="22"/>
      <c r="G1" s="22"/>
    </row>
    <row r="2" customFormat="false" ht="31.5" hidden="false" customHeight="true" outlineLevel="0" collapsed="false">
      <c r="A2" s="23" t="s">
        <v>29</v>
      </c>
      <c r="B2" s="23" t="s">
        <v>30</v>
      </c>
      <c r="C2" s="23" t="s">
        <v>31</v>
      </c>
      <c r="D2" s="23" t="s">
        <v>32</v>
      </c>
      <c r="E2" s="23" t="s">
        <v>33</v>
      </c>
      <c r="F2" s="23" t="s">
        <v>34</v>
      </c>
      <c r="G2" s="23" t="s">
        <v>35</v>
      </c>
    </row>
    <row r="3" customFormat="false" ht="15" hidden="false" customHeight="false" outlineLevel="0" collapsed="false">
      <c r="A3" s="24" t="n">
        <v>46307</v>
      </c>
      <c r="B3" s="25" t="s">
        <v>36</v>
      </c>
      <c r="C3" s="26" t="n">
        <v>0.420138888888889</v>
      </c>
      <c r="D3" s="26" t="n">
        <v>0.425</v>
      </c>
      <c r="E3" s="27" t="n">
        <f aca="false">IF(OR(C3="",D3=""),"",ROUND(MOD(D3-C3,1)*1440,0))</f>
        <v>7</v>
      </c>
      <c r="F3" s="27" t="str">
        <f aca="false">IF(C3="","",IF(D3="","Нет ответа",IF(E3&lt;=Расчёт!$C$6,"Быстро","Поздно")))</f>
        <v>Быстро</v>
      </c>
      <c r="G3" s="25" t="s">
        <v>37</v>
      </c>
    </row>
    <row r="4" customFormat="false" ht="15" hidden="false" customHeight="false" outlineLevel="0" collapsed="false">
      <c r="A4" s="24" t="n">
        <v>46307</v>
      </c>
      <c r="B4" s="25" t="s">
        <v>38</v>
      </c>
      <c r="C4" s="26" t="n">
        <v>0.902777777777778</v>
      </c>
      <c r="D4" s="26" t="n">
        <v>0.385416666666667</v>
      </c>
      <c r="E4" s="27" t="n">
        <f aca="false">IF(OR(C4="",D4=""),"",ROUND(MOD(D4-C4,1)*1440,0))</f>
        <v>695</v>
      </c>
      <c r="F4" s="27" t="str">
        <f aca="false">IF(C4="","",IF(D4="","Нет ответа",IF(E4&lt;=Расчёт!$C$6,"Быстро","Поздно")))</f>
        <v>Поздно</v>
      </c>
      <c r="G4" s="25" t="s">
        <v>39</v>
      </c>
    </row>
    <row r="5" customFormat="false" ht="15" hidden="false" customHeight="false" outlineLevel="0" collapsed="false">
      <c r="A5" s="24" t="n">
        <v>46308</v>
      </c>
      <c r="B5" s="25" t="s">
        <v>40</v>
      </c>
      <c r="C5" s="26" t="n">
        <v>0.597222222222222</v>
      </c>
      <c r="D5" s="26"/>
      <c r="E5" s="27" t="str">
        <f aca="false">IF(OR(C5="",D5=""),"",ROUND(MOD(D5-C5,1)*1440,0))</f>
        <v/>
      </c>
      <c r="F5" s="27" t="str">
        <f aca="false">IF(C5="","",IF(D5="","Нет ответа",IF(E5&lt;=Расчёт!$C$6,"Быстро","Поздно")))</f>
        <v>Нет ответа</v>
      </c>
      <c r="G5" s="25" t="s">
        <v>39</v>
      </c>
    </row>
    <row r="6" customFormat="false" ht="15" hidden="false" customHeight="false" outlineLevel="0" collapsed="false">
      <c r="A6" s="24"/>
      <c r="B6" s="25"/>
      <c r="C6" s="26"/>
      <c r="D6" s="26"/>
      <c r="E6" s="27" t="str">
        <f aca="false">IF(OR(C6="",D6=""),"",ROUND(MOD(D6-C6,1)*1440,0))</f>
        <v/>
      </c>
      <c r="F6" s="27" t="str">
        <f aca="false">IF(C6="","",IF(D6="","Нет ответа",IF(E6&lt;=Расчёт!$C$6,"Быстро","Поздно")))</f>
        <v/>
      </c>
      <c r="G6" s="25"/>
    </row>
    <row r="7" customFormat="false" ht="15" hidden="false" customHeight="false" outlineLevel="0" collapsed="false">
      <c r="A7" s="24"/>
      <c r="B7" s="25"/>
      <c r="C7" s="26"/>
      <c r="D7" s="26"/>
      <c r="E7" s="27" t="str">
        <f aca="false">IF(OR(C7="",D7=""),"",ROUND(MOD(D7-C7,1)*1440,0))</f>
        <v/>
      </c>
      <c r="F7" s="27" t="str">
        <f aca="false">IF(C7="","",IF(D7="","Нет ответа",IF(E7&lt;=Расчёт!$C$6,"Быстро","Поздно")))</f>
        <v/>
      </c>
      <c r="G7" s="25"/>
    </row>
    <row r="8" customFormat="false" ht="15" hidden="false" customHeight="false" outlineLevel="0" collapsed="false">
      <c r="A8" s="24"/>
      <c r="B8" s="25"/>
      <c r="C8" s="26"/>
      <c r="D8" s="26"/>
      <c r="E8" s="27" t="str">
        <f aca="false">IF(OR(C8="",D8=""),"",ROUND(MOD(D8-C8,1)*1440,0))</f>
        <v/>
      </c>
      <c r="F8" s="27" t="str">
        <f aca="false">IF(C8="","",IF(D8="","Нет ответа",IF(E8&lt;=Расчёт!$C$6,"Быстро","Поздно")))</f>
        <v/>
      </c>
      <c r="G8" s="25"/>
    </row>
    <row r="9" customFormat="false" ht="15" hidden="false" customHeight="false" outlineLevel="0" collapsed="false">
      <c r="A9" s="24"/>
      <c r="B9" s="25"/>
      <c r="C9" s="26"/>
      <c r="D9" s="26"/>
      <c r="E9" s="27" t="str">
        <f aca="false">IF(OR(C9="",D9=""),"",ROUND(MOD(D9-C9,1)*1440,0))</f>
        <v/>
      </c>
      <c r="F9" s="27" t="str">
        <f aca="false">IF(C9="","",IF(D9="","Нет ответа",IF(E9&lt;=Расчёт!$C$6,"Быстро","Поздно")))</f>
        <v/>
      </c>
      <c r="G9" s="25"/>
    </row>
    <row r="10" customFormat="false" ht="15" hidden="false" customHeight="false" outlineLevel="0" collapsed="false">
      <c r="A10" s="24"/>
      <c r="B10" s="25"/>
      <c r="C10" s="26"/>
      <c r="D10" s="26"/>
      <c r="E10" s="27" t="str">
        <f aca="false">IF(OR(C10="",D10=""),"",ROUND(MOD(D10-C10,1)*1440,0))</f>
        <v/>
      </c>
      <c r="F10" s="27" t="str">
        <f aca="false">IF(C10="","",IF(D10="","Нет ответа",IF(E10&lt;=Расчёт!$C$6,"Быстро","Поздно")))</f>
        <v/>
      </c>
      <c r="G10" s="25"/>
    </row>
    <row r="11" customFormat="false" ht="15" hidden="false" customHeight="false" outlineLevel="0" collapsed="false">
      <c r="A11" s="24"/>
      <c r="B11" s="25"/>
      <c r="C11" s="26"/>
      <c r="D11" s="26"/>
      <c r="E11" s="27" t="str">
        <f aca="false">IF(OR(C11="",D11=""),"",ROUND(MOD(D11-C11,1)*1440,0))</f>
        <v/>
      </c>
      <c r="F11" s="27" t="str">
        <f aca="false">IF(C11="","",IF(D11="","Нет ответа",IF(E11&lt;=Расчёт!$C$6,"Быстро","Поздно")))</f>
        <v/>
      </c>
      <c r="G11" s="25"/>
    </row>
    <row r="12" customFormat="false" ht="15" hidden="false" customHeight="false" outlineLevel="0" collapsed="false">
      <c r="A12" s="24"/>
      <c r="B12" s="25"/>
      <c r="C12" s="26"/>
      <c r="D12" s="26"/>
      <c r="E12" s="27" t="str">
        <f aca="false">IF(OR(C12="",D12=""),"",ROUND(MOD(D12-C12,1)*1440,0))</f>
        <v/>
      </c>
      <c r="F12" s="27" t="str">
        <f aca="false">IF(C12="","",IF(D12="","Нет ответа",IF(E12&lt;=Расчёт!$C$6,"Быстро","Поздно")))</f>
        <v/>
      </c>
      <c r="G12" s="25"/>
    </row>
    <row r="13" customFormat="false" ht="15" hidden="false" customHeight="false" outlineLevel="0" collapsed="false">
      <c r="A13" s="24"/>
      <c r="B13" s="25"/>
      <c r="C13" s="26"/>
      <c r="D13" s="26"/>
      <c r="E13" s="27" t="str">
        <f aca="false">IF(OR(C13="",D13=""),"",ROUND(MOD(D13-C13,1)*1440,0))</f>
        <v/>
      </c>
      <c r="F13" s="27" t="str">
        <f aca="false">IF(C13="","",IF(D13="","Нет ответа",IF(E13&lt;=Расчёт!$C$6,"Быстро","Поздно")))</f>
        <v/>
      </c>
      <c r="G13" s="25"/>
    </row>
    <row r="14" customFormat="false" ht="15" hidden="false" customHeight="false" outlineLevel="0" collapsed="false">
      <c r="A14" s="24"/>
      <c r="B14" s="25"/>
      <c r="C14" s="26"/>
      <c r="D14" s="26"/>
      <c r="E14" s="27" t="str">
        <f aca="false">IF(OR(C14="",D14=""),"",ROUND(MOD(D14-C14,1)*1440,0))</f>
        <v/>
      </c>
      <c r="F14" s="27" t="str">
        <f aca="false">IF(C14="","",IF(D14="","Нет ответа",IF(E14&lt;=Расчёт!$C$6,"Быстро","Поздно")))</f>
        <v/>
      </c>
      <c r="G14" s="25"/>
    </row>
    <row r="15" customFormat="false" ht="15" hidden="false" customHeight="false" outlineLevel="0" collapsed="false">
      <c r="A15" s="24"/>
      <c r="B15" s="25"/>
      <c r="C15" s="26"/>
      <c r="D15" s="26"/>
      <c r="E15" s="27" t="str">
        <f aca="false">IF(OR(C15="",D15=""),"",ROUND(MOD(D15-C15,1)*1440,0))</f>
        <v/>
      </c>
      <c r="F15" s="27" t="str">
        <f aca="false">IF(C15="","",IF(D15="","Нет ответа",IF(E15&lt;=Расчёт!$C$6,"Быстро","Поздно")))</f>
        <v/>
      </c>
      <c r="G15" s="25"/>
    </row>
    <row r="16" customFormat="false" ht="15" hidden="false" customHeight="false" outlineLevel="0" collapsed="false">
      <c r="A16" s="24"/>
      <c r="B16" s="25"/>
      <c r="C16" s="26"/>
      <c r="D16" s="26"/>
      <c r="E16" s="27" t="str">
        <f aca="false">IF(OR(C16="",D16=""),"",ROUND(MOD(D16-C16,1)*1440,0))</f>
        <v/>
      </c>
      <c r="F16" s="27" t="str">
        <f aca="false">IF(C16="","",IF(D16="","Нет ответа",IF(E16&lt;=Расчёт!$C$6,"Быстро","Поздно")))</f>
        <v/>
      </c>
      <c r="G16" s="25"/>
    </row>
    <row r="17" customFormat="false" ht="15" hidden="false" customHeight="false" outlineLevel="0" collapsed="false">
      <c r="A17" s="24"/>
      <c r="B17" s="25"/>
      <c r="C17" s="26"/>
      <c r="D17" s="26"/>
      <c r="E17" s="27" t="str">
        <f aca="false">IF(OR(C17="",D17=""),"",ROUND(MOD(D17-C17,1)*1440,0))</f>
        <v/>
      </c>
      <c r="F17" s="27" t="str">
        <f aca="false">IF(C17="","",IF(D17="","Нет ответа",IF(E17&lt;=Расчёт!$C$6,"Быстро","Поздно")))</f>
        <v/>
      </c>
      <c r="G17" s="25"/>
    </row>
    <row r="18" customFormat="false" ht="15" hidden="false" customHeight="false" outlineLevel="0" collapsed="false">
      <c r="A18" s="24"/>
      <c r="B18" s="25"/>
      <c r="C18" s="26"/>
      <c r="D18" s="26"/>
      <c r="E18" s="27" t="str">
        <f aca="false">IF(OR(C18="",D18=""),"",ROUND(MOD(D18-C18,1)*1440,0))</f>
        <v/>
      </c>
      <c r="F18" s="27" t="str">
        <f aca="false">IF(C18="","",IF(D18="","Нет ответа",IF(E18&lt;=Расчёт!$C$6,"Быстро","Поздно")))</f>
        <v/>
      </c>
      <c r="G18" s="25"/>
    </row>
    <row r="19" customFormat="false" ht="15" hidden="false" customHeight="false" outlineLevel="0" collapsed="false">
      <c r="A19" s="24"/>
      <c r="B19" s="25"/>
      <c r="C19" s="26"/>
      <c r="D19" s="26"/>
      <c r="E19" s="27" t="str">
        <f aca="false">IF(OR(C19="",D19=""),"",ROUND(MOD(D19-C19,1)*1440,0))</f>
        <v/>
      </c>
      <c r="F19" s="27" t="str">
        <f aca="false">IF(C19="","",IF(D19="","Нет ответа",IF(E19&lt;=Расчёт!$C$6,"Быстро","Поздно")))</f>
        <v/>
      </c>
      <c r="G19" s="25"/>
    </row>
    <row r="20" customFormat="false" ht="15" hidden="false" customHeight="false" outlineLevel="0" collapsed="false">
      <c r="A20" s="24"/>
      <c r="B20" s="25"/>
      <c r="C20" s="26"/>
      <c r="D20" s="26"/>
      <c r="E20" s="27" t="str">
        <f aca="false">IF(OR(C20="",D20=""),"",ROUND(MOD(D20-C20,1)*1440,0))</f>
        <v/>
      </c>
      <c r="F20" s="27" t="str">
        <f aca="false">IF(C20="","",IF(D20="","Нет ответа",IF(E20&lt;=Расчёт!$C$6,"Быстро","Поздно")))</f>
        <v/>
      </c>
      <c r="G20" s="25"/>
    </row>
    <row r="21" customFormat="false" ht="15" hidden="false" customHeight="false" outlineLevel="0" collapsed="false">
      <c r="A21" s="24"/>
      <c r="B21" s="25"/>
      <c r="C21" s="26"/>
      <c r="D21" s="26"/>
      <c r="E21" s="27" t="str">
        <f aca="false">IF(OR(C21="",D21=""),"",ROUND(MOD(D21-C21,1)*1440,0))</f>
        <v/>
      </c>
      <c r="F21" s="27" t="str">
        <f aca="false">IF(C21="","",IF(D21="","Нет ответа",IF(E21&lt;=Расчёт!$C$6,"Быстро","Поздно")))</f>
        <v/>
      </c>
      <c r="G21" s="25"/>
    </row>
    <row r="22" customFormat="false" ht="15" hidden="false" customHeight="false" outlineLevel="0" collapsed="false">
      <c r="A22" s="24"/>
      <c r="B22" s="25"/>
      <c r="C22" s="26"/>
      <c r="D22" s="26"/>
      <c r="E22" s="27" t="str">
        <f aca="false">IF(OR(C22="",D22=""),"",ROUND(MOD(D22-C22,1)*1440,0))</f>
        <v/>
      </c>
      <c r="F22" s="27" t="str">
        <f aca="false">IF(C22="","",IF(D22="","Нет ответа",IF(E22&lt;=Расчёт!$C$6,"Быстро","Поздно")))</f>
        <v/>
      </c>
      <c r="G22" s="25"/>
    </row>
    <row r="23" customFormat="false" ht="15" hidden="false" customHeight="false" outlineLevel="0" collapsed="false">
      <c r="A23" s="24"/>
      <c r="B23" s="25"/>
      <c r="C23" s="26"/>
      <c r="D23" s="26"/>
      <c r="E23" s="27" t="str">
        <f aca="false">IF(OR(C23="",D23=""),"",ROUND(MOD(D23-C23,1)*1440,0))</f>
        <v/>
      </c>
      <c r="F23" s="27" t="str">
        <f aca="false">IF(C23="","",IF(D23="","Нет ответа",IF(E23&lt;=Расчёт!$C$6,"Быстро","Поздно")))</f>
        <v/>
      </c>
      <c r="G23" s="25"/>
    </row>
    <row r="24" customFormat="false" ht="15" hidden="false" customHeight="false" outlineLevel="0" collapsed="false">
      <c r="A24" s="24"/>
      <c r="B24" s="25"/>
      <c r="C24" s="26"/>
      <c r="D24" s="26"/>
      <c r="E24" s="27" t="str">
        <f aca="false">IF(OR(C24="",D24=""),"",ROUND(MOD(D24-C24,1)*1440,0))</f>
        <v/>
      </c>
      <c r="F24" s="27" t="str">
        <f aca="false">IF(C24="","",IF(D24="","Нет ответа",IF(E24&lt;=Расчёт!$C$6,"Быстро","Поздно")))</f>
        <v/>
      </c>
      <c r="G24" s="25"/>
    </row>
    <row r="25" customFormat="false" ht="15" hidden="false" customHeight="false" outlineLevel="0" collapsed="false">
      <c r="A25" s="24"/>
      <c r="B25" s="25"/>
      <c r="C25" s="26"/>
      <c r="D25" s="26"/>
      <c r="E25" s="27" t="str">
        <f aca="false">IF(OR(C25="",D25=""),"",ROUND(MOD(D25-C25,1)*1440,0))</f>
        <v/>
      </c>
      <c r="F25" s="27" t="str">
        <f aca="false">IF(C25="","",IF(D25="","Нет ответа",IF(E25&lt;=Расчёт!$C$6,"Быстро","Поздно")))</f>
        <v/>
      </c>
      <c r="G25" s="25"/>
    </row>
    <row r="26" customFormat="false" ht="15" hidden="false" customHeight="false" outlineLevel="0" collapsed="false">
      <c r="A26" s="24"/>
      <c r="B26" s="25"/>
      <c r="C26" s="26"/>
      <c r="D26" s="26"/>
      <c r="E26" s="27" t="str">
        <f aca="false">IF(OR(C26="",D26=""),"",ROUND(MOD(D26-C26,1)*1440,0))</f>
        <v/>
      </c>
      <c r="F26" s="27" t="str">
        <f aca="false">IF(C26="","",IF(D26="","Нет ответа",IF(E26&lt;=Расчёт!$C$6,"Быстро","Поздно")))</f>
        <v/>
      </c>
      <c r="G26" s="25"/>
    </row>
    <row r="27" customFormat="false" ht="15" hidden="false" customHeight="false" outlineLevel="0" collapsed="false">
      <c r="A27" s="24"/>
      <c r="B27" s="25"/>
      <c r="C27" s="26"/>
      <c r="D27" s="26"/>
      <c r="E27" s="27" t="str">
        <f aca="false">IF(OR(C27="",D27=""),"",ROUND(MOD(D27-C27,1)*1440,0))</f>
        <v/>
      </c>
      <c r="F27" s="27" t="str">
        <f aca="false">IF(C27="","",IF(D27="","Нет ответа",IF(E27&lt;=Расчёт!$C$6,"Быстро","Поздно")))</f>
        <v/>
      </c>
      <c r="G27" s="25"/>
    </row>
    <row r="28" customFormat="false" ht="15" hidden="false" customHeight="false" outlineLevel="0" collapsed="false">
      <c r="A28" s="24"/>
      <c r="B28" s="25"/>
      <c r="C28" s="26"/>
      <c r="D28" s="26"/>
      <c r="E28" s="27" t="str">
        <f aca="false">IF(OR(C28="",D28=""),"",ROUND(MOD(D28-C28,1)*1440,0))</f>
        <v/>
      </c>
      <c r="F28" s="27" t="str">
        <f aca="false">IF(C28="","",IF(D28="","Нет ответа",IF(E28&lt;=Расчёт!$C$6,"Быстро","Поздно")))</f>
        <v/>
      </c>
      <c r="G28" s="25"/>
    </row>
    <row r="29" customFormat="false" ht="15" hidden="false" customHeight="false" outlineLevel="0" collapsed="false">
      <c r="A29" s="24"/>
      <c r="B29" s="25"/>
      <c r="C29" s="26"/>
      <c r="D29" s="26"/>
      <c r="E29" s="27" t="str">
        <f aca="false">IF(OR(C29="",D29=""),"",ROUND(MOD(D29-C29,1)*1440,0))</f>
        <v/>
      </c>
      <c r="F29" s="27" t="str">
        <f aca="false">IF(C29="","",IF(D29="","Нет ответа",IF(E29&lt;=Расчёт!$C$6,"Быстро","Поздно")))</f>
        <v/>
      </c>
      <c r="G29" s="25"/>
    </row>
    <row r="30" customFormat="false" ht="15" hidden="false" customHeight="false" outlineLevel="0" collapsed="false">
      <c r="A30" s="24"/>
      <c r="B30" s="25"/>
      <c r="C30" s="26"/>
      <c r="D30" s="26"/>
      <c r="E30" s="27" t="str">
        <f aca="false">IF(OR(C30="",D30=""),"",ROUND(MOD(D30-C30,1)*1440,0))</f>
        <v/>
      </c>
      <c r="F30" s="27" t="str">
        <f aca="false">IF(C30="","",IF(D30="","Нет ответа",IF(E30&lt;=Расчёт!$C$6,"Быстро","Поздно")))</f>
        <v/>
      </c>
      <c r="G30" s="25"/>
    </row>
    <row r="31" customFormat="false" ht="15" hidden="false" customHeight="false" outlineLevel="0" collapsed="false">
      <c r="A31" s="24"/>
      <c r="B31" s="25"/>
      <c r="C31" s="26"/>
      <c r="D31" s="26"/>
      <c r="E31" s="27" t="str">
        <f aca="false">IF(OR(C31="",D31=""),"",ROUND(MOD(D31-C31,1)*1440,0))</f>
        <v/>
      </c>
      <c r="F31" s="27" t="str">
        <f aca="false">IF(C31="","",IF(D31="","Нет ответа",IF(E31&lt;=Расчёт!$C$6,"Быстро","Поздно")))</f>
        <v/>
      </c>
      <c r="G31" s="25"/>
    </row>
    <row r="32" customFormat="false" ht="15" hidden="false" customHeight="false" outlineLevel="0" collapsed="false">
      <c r="A32" s="24"/>
      <c r="B32" s="25"/>
      <c r="C32" s="26"/>
      <c r="D32" s="26"/>
      <c r="E32" s="27" t="str">
        <f aca="false">IF(OR(C32="",D32=""),"",ROUND(MOD(D32-C32,1)*1440,0))</f>
        <v/>
      </c>
      <c r="F32" s="27" t="str">
        <f aca="false">IF(C32="","",IF(D32="","Нет ответа",IF(E32&lt;=Расчёт!$C$6,"Быстро","Поздно")))</f>
        <v/>
      </c>
      <c r="G32" s="25"/>
    </row>
    <row r="33" customFormat="false" ht="15" hidden="false" customHeight="false" outlineLevel="0" collapsed="false">
      <c r="A33" s="24"/>
      <c r="B33" s="25"/>
      <c r="C33" s="26"/>
      <c r="D33" s="26"/>
      <c r="E33" s="27" t="str">
        <f aca="false">IF(OR(C33="",D33=""),"",ROUND(MOD(D33-C33,1)*1440,0))</f>
        <v/>
      </c>
      <c r="F33" s="27" t="str">
        <f aca="false">IF(C33="","",IF(D33="","Нет ответа",IF(E33&lt;=Расчёт!$C$6,"Быстро","Поздно")))</f>
        <v/>
      </c>
      <c r="G33" s="25"/>
    </row>
    <row r="34" customFormat="false" ht="15" hidden="false" customHeight="false" outlineLevel="0" collapsed="false">
      <c r="A34" s="24"/>
      <c r="B34" s="25"/>
      <c r="C34" s="26"/>
      <c r="D34" s="26"/>
      <c r="E34" s="27" t="str">
        <f aca="false">IF(OR(C34="",D34=""),"",ROUND(MOD(D34-C34,1)*1440,0))</f>
        <v/>
      </c>
      <c r="F34" s="27" t="str">
        <f aca="false">IF(C34="","",IF(D34="","Нет ответа",IF(E34&lt;=Расчёт!$C$6,"Быстро","Поздно")))</f>
        <v/>
      </c>
      <c r="G34" s="25"/>
    </row>
    <row r="35" customFormat="false" ht="15" hidden="false" customHeight="false" outlineLevel="0" collapsed="false">
      <c r="A35" s="24"/>
      <c r="B35" s="25"/>
      <c r="C35" s="26"/>
      <c r="D35" s="26"/>
      <c r="E35" s="27" t="str">
        <f aca="false">IF(OR(C35="",D35=""),"",ROUND(MOD(D35-C35,1)*1440,0))</f>
        <v/>
      </c>
      <c r="F35" s="27" t="str">
        <f aca="false">IF(C35="","",IF(D35="","Нет ответа",IF(E35&lt;=Расчёт!$C$6,"Быстро","Поздно")))</f>
        <v/>
      </c>
      <c r="G35" s="25"/>
    </row>
    <row r="36" customFormat="false" ht="15" hidden="false" customHeight="false" outlineLevel="0" collapsed="false">
      <c r="A36" s="24"/>
      <c r="B36" s="25"/>
      <c r="C36" s="26"/>
      <c r="D36" s="26"/>
      <c r="E36" s="27" t="str">
        <f aca="false">IF(OR(C36="",D36=""),"",ROUND(MOD(D36-C36,1)*1440,0))</f>
        <v/>
      </c>
      <c r="F36" s="27" t="str">
        <f aca="false">IF(C36="","",IF(D36="","Нет ответа",IF(E36&lt;=Расчёт!$C$6,"Быстро","Поздно")))</f>
        <v/>
      </c>
      <c r="G36" s="25"/>
    </row>
    <row r="37" customFormat="false" ht="15" hidden="false" customHeight="false" outlineLevel="0" collapsed="false">
      <c r="A37" s="24"/>
      <c r="B37" s="25"/>
      <c r="C37" s="26"/>
      <c r="D37" s="26"/>
      <c r="E37" s="27" t="str">
        <f aca="false">IF(OR(C37="",D37=""),"",ROUND(MOD(D37-C37,1)*1440,0))</f>
        <v/>
      </c>
      <c r="F37" s="27" t="str">
        <f aca="false">IF(C37="","",IF(D37="","Нет ответа",IF(E37&lt;=Расчёт!$C$6,"Быстро","Поздно")))</f>
        <v/>
      </c>
      <c r="G37" s="25"/>
    </row>
    <row r="38" customFormat="false" ht="15" hidden="false" customHeight="false" outlineLevel="0" collapsed="false">
      <c r="A38" s="24"/>
      <c r="B38" s="25"/>
      <c r="C38" s="26"/>
      <c r="D38" s="26"/>
      <c r="E38" s="27" t="str">
        <f aca="false">IF(OR(C38="",D38=""),"",ROUND(MOD(D38-C38,1)*1440,0))</f>
        <v/>
      </c>
      <c r="F38" s="27" t="str">
        <f aca="false">IF(C38="","",IF(D38="","Нет ответа",IF(E38&lt;=Расчёт!$C$6,"Быстро","Поздно")))</f>
        <v/>
      </c>
      <c r="G38" s="25"/>
    </row>
    <row r="39" customFormat="false" ht="15" hidden="false" customHeight="false" outlineLevel="0" collapsed="false">
      <c r="A39" s="24"/>
      <c r="B39" s="25"/>
      <c r="C39" s="26"/>
      <c r="D39" s="26"/>
      <c r="E39" s="27" t="str">
        <f aca="false">IF(OR(C39="",D39=""),"",ROUND(MOD(D39-C39,1)*1440,0))</f>
        <v/>
      </c>
      <c r="F39" s="27" t="str">
        <f aca="false">IF(C39="","",IF(D39="","Нет ответа",IF(E39&lt;=Расчёт!$C$6,"Быстро","Поздно")))</f>
        <v/>
      </c>
      <c r="G39" s="25"/>
    </row>
    <row r="40" customFormat="false" ht="15" hidden="false" customHeight="false" outlineLevel="0" collapsed="false">
      <c r="A40" s="24"/>
      <c r="B40" s="25"/>
      <c r="C40" s="26"/>
      <c r="D40" s="26"/>
      <c r="E40" s="27" t="str">
        <f aca="false">IF(OR(C40="",D40=""),"",ROUND(MOD(D40-C40,1)*1440,0))</f>
        <v/>
      </c>
      <c r="F40" s="27" t="str">
        <f aca="false">IF(C40="","",IF(D40="","Нет ответа",IF(E40&lt;=Расчёт!$C$6,"Быстро","Поздно")))</f>
        <v/>
      </c>
      <c r="G40" s="25"/>
    </row>
    <row r="41" customFormat="false" ht="15" hidden="false" customHeight="false" outlineLevel="0" collapsed="false">
      <c r="A41" s="24"/>
      <c r="B41" s="25"/>
      <c r="C41" s="26"/>
      <c r="D41" s="26"/>
      <c r="E41" s="27" t="str">
        <f aca="false">IF(OR(C41="",D41=""),"",ROUND(MOD(D41-C41,1)*1440,0))</f>
        <v/>
      </c>
      <c r="F41" s="27" t="str">
        <f aca="false">IF(C41="","",IF(D41="","Нет ответа",IF(E41&lt;=Расчёт!$C$6,"Быстро","Поздно")))</f>
        <v/>
      </c>
      <c r="G41" s="25"/>
    </row>
    <row r="42" customFormat="false" ht="15" hidden="false" customHeight="false" outlineLevel="0" collapsed="false">
      <c r="A42" s="24"/>
      <c r="B42" s="25"/>
      <c r="C42" s="26"/>
      <c r="D42" s="26"/>
      <c r="E42" s="27" t="str">
        <f aca="false">IF(OR(C42="",D42=""),"",ROUND(MOD(D42-C42,1)*1440,0))</f>
        <v/>
      </c>
      <c r="F42" s="27" t="str">
        <f aca="false">IF(C42="","",IF(D42="","Нет ответа",IF(E42&lt;=Расчёт!$C$6,"Быстро","Поздно")))</f>
        <v/>
      </c>
      <c r="G42" s="25"/>
    </row>
    <row r="43" customFormat="false" ht="15" hidden="false" customHeight="false" outlineLevel="0" collapsed="false">
      <c r="A43" s="24"/>
      <c r="B43" s="25"/>
      <c r="C43" s="26"/>
      <c r="D43" s="26"/>
      <c r="E43" s="27" t="str">
        <f aca="false">IF(OR(C43="",D43=""),"",ROUND(MOD(D43-C43,1)*1440,0))</f>
        <v/>
      </c>
      <c r="F43" s="27" t="str">
        <f aca="false">IF(C43="","",IF(D43="","Нет ответа",IF(E43&lt;=Расчёт!$C$6,"Быстро","Поздно")))</f>
        <v/>
      </c>
      <c r="G43" s="25"/>
    </row>
    <row r="44" customFormat="false" ht="15" hidden="false" customHeight="false" outlineLevel="0" collapsed="false">
      <c r="A44" s="24"/>
      <c r="B44" s="25"/>
      <c r="C44" s="26"/>
      <c r="D44" s="26"/>
      <c r="E44" s="27" t="str">
        <f aca="false">IF(OR(C44="",D44=""),"",ROUND(MOD(D44-C44,1)*1440,0))</f>
        <v/>
      </c>
      <c r="F44" s="27" t="str">
        <f aca="false">IF(C44="","",IF(D44="","Нет ответа",IF(E44&lt;=Расчёт!$C$6,"Быстро","Поздно")))</f>
        <v/>
      </c>
      <c r="G44" s="25"/>
    </row>
    <row r="45" customFormat="false" ht="15" hidden="false" customHeight="false" outlineLevel="0" collapsed="false">
      <c r="A45" s="24"/>
      <c r="B45" s="25"/>
      <c r="C45" s="26"/>
      <c r="D45" s="26"/>
      <c r="E45" s="27" t="str">
        <f aca="false">IF(OR(C45="",D45=""),"",ROUND(MOD(D45-C45,1)*1440,0))</f>
        <v/>
      </c>
      <c r="F45" s="27" t="str">
        <f aca="false">IF(C45="","",IF(D45="","Нет ответа",IF(E45&lt;=Расчёт!$C$6,"Быстро","Поздно")))</f>
        <v/>
      </c>
      <c r="G45" s="25"/>
    </row>
    <row r="46" customFormat="false" ht="15" hidden="false" customHeight="false" outlineLevel="0" collapsed="false">
      <c r="A46" s="24"/>
      <c r="B46" s="25"/>
      <c r="C46" s="26"/>
      <c r="D46" s="26"/>
      <c r="E46" s="27" t="str">
        <f aca="false">IF(OR(C46="",D46=""),"",ROUND(MOD(D46-C46,1)*1440,0))</f>
        <v/>
      </c>
      <c r="F46" s="27" t="str">
        <f aca="false">IF(C46="","",IF(D46="","Нет ответа",IF(E46&lt;=Расчёт!$C$6,"Быстро","Поздно")))</f>
        <v/>
      </c>
      <c r="G46" s="25"/>
    </row>
    <row r="47" customFormat="false" ht="15" hidden="false" customHeight="false" outlineLevel="0" collapsed="false">
      <c r="A47" s="24"/>
      <c r="B47" s="25"/>
      <c r="C47" s="26"/>
      <c r="D47" s="26"/>
      <c r="E47" s="27" t="str">
        <f aca="false">IF(OR(C47="",D47=""),"",ROUND(MOD(D47-C47,1)*1440,0))</f>
        <v/>
      </c>
      <c r="F47" s="27" t="str">
        <f aca="false">IF(C47="","",IF(D47="","Нет ответа",IF(E47&lt;=Расчёт!$C$6,"Быстро","Поздно")))</f>
        <v/>
      </c>
      <c r="G47" s="25"/>
    </row>
    <row r="48" customFormat="false" ht="15" hidden="false" customHeight="false" outlineLevel="0" collapsed="false">
      <c r="A48" s="24"/>
      <c r="B48" s="25"/>
      <c r="C48" s="26"/>
      <c r="D48" s="26"/>
      <c r="E48" s="27" t="str">
        <f aca="false">IF(OR(C48="",D48=""),"",ROUND(MOD(D48-C48,1)*1440,0))</f>
        <v/>
      </c>
      <c r="F48" s="27" t="str">
        <f aca="false">IF(C48="","",IF(D48="","Нет ответа",IF(E48&lt;=Расчёт!$C$6,"Быстро","Поздно")))</f>
        <v/>
      </c>
      <c r="G48" s="25"/>
    </row>
    <row r="49" customFormat="false" ht="15" hidden="false" customHeight="false" outlineLevel="0" collapsed="false">
      <c r="A49" s="24"/>
      <c r="B49" s="25"/>
      <c r="C49" s="26"/>
      <c r="D49" s="26"/>
      <c r="E49" s="27" t="str">
        <f aca="false">IF(OR(C49="",D49=""),"",ROUND(MOD(D49-C49,1)*1440,0))</f>
        <v/>
      </c>
      <c r="F49" s="27" t="str">
        <f aca="false">IF(C49="","",IF(D49="","Нет ответа",IF(E49&lt;=Расчёт!$C$6,"Быстро","Поздно")))</f>
        <v/>
      </c>
      <c r="G49" s="25"/>
    </row>
    <row r="50" customFormat="false" ht="15" hidden="false" customHeight="false" outlineLevel="0" collapsed="false">
      <c r="A50" s="24"/>
      <c r="B50" s="25"/>
      <c r="C50" s="26"/>
      <c r="D50" s="26"/>
      <c r="E50" s="27" t="str">
        <f aca="false">IF(OR(C50="",D50=""),"",ROUND(MOD(D50-C50,1)*1440,0))</f>
        <v/>
      </c>
      <c r="F50" s="27" t="str">
        <f aca="false">IF(C50="","",IF(D50="","Нет ответа",IF(E50&lt;=Расчёт!$C$6,"Быстро","Поздно")))</f>
        <v/>
      </c>
      <c r="G50" s="25"/>
    </row>
    <row r="51" customFormat="false" ht="15" hidden="false" customHeight="false" outlineLevel="0" collapsed="false">
      <c r="A51" s="24"/>
      <c r="B51" s="25"/>
      <c r="C51" s="26"/>
      <c r="D51" s="26"/>
      <c r="E51" s="27" t="str">
        <f aca="false">IF(OR(C51="",D51=""),"",ROUND(MOD(D51-C51,1)*1440,0))</f>
        <v/>
      </c>
      <c r="F51" s="27" t="str">
        <f aca="false">IF(C51="","",IF(D51="","Нет ответа",IF(E51&lt;=Расчёт!$C$6,"Быстро","Поздно")))</f>
        <v/>
      </c>
      <c r="G51" s="25"/>
    </row>
    <row r="52" customFormat="false" ht="15" hidden="false" customHeight="false" outlineLevel="0" collapsed="false">
      <c r="A52" s="24"/>
      <c r="B52" s="25"/>
      <c r="C52" s="26"/>
      <c r="D52" s="26"/>
      <c r="E52" s="27" t="str">
        <f aca="false">IF(OR(C52="",D52=""),"",ROUND(MOD(D52-C52,1)*1440,0))</f>
        <v/>
      </c>
      <c r="F52" s="27" t="str">
        <f aca="false">IF(C52="","",IF(D52="","Нет ответа",IF(E52&lt;=Расчёт!$C$6,"Быстро","Поздно")))</f>
        <v/>
      </c>
      <c r="G52" s="25"/>
    </row>
    <row r="53" customFormat="false" ht="15" hidden="false" customHeight="false" outlineLevel="0" collapsed="false">
      <c r="A53" s="24"/>
      <c r="B53" s="25"/>
      <c r="C53" s="26"/>
      <c r="D53" s="26"/>
      <c r="E53" s="27" t="str">
        <f aca="false">IF(OR(C53="",D53=""),"",ROUND(MOD(D53-C53,1)*1440,0))</f>
        <v/>
      </c>
      <c r="F53" s="27" t="str">
        <f aca="false">IF(C53="","",IF(D53="","Нет ответа",IF(E53&lt;=Расчёт!$C$6,"Быстро","Поздно")))</f>
        <v/>
      </c>
      <c r="G53" s="25"/>
    </row>
    <row r="54" customFormat="false" ht="15" hidden="false" customHeight="false" outlineLevel="0" collapsed="false">
      <c r="A54" s="24"/>
      <c r="B54" s="25"/>
      <c r="C54" s="26"/>
      <c r="D54" s="26"/>
      <c r="E54" s="27" t="str">
        <f aca="false">IF(OR(C54="",D54=""),"",ROUND(MOD(D54-C54,1)*1440,0))</f>
        <v/>
      </c>
      <c r="F54" s="27" t="str">
        <f aca="false">IF(C54="","",IF(D54="","Нет ответа",IF(E54&lt;=Расчёт!$C$6,"Быстро","Поздно")))</f>
        <v/>
      </c>
      <c r="G54" s="25"/>
    </row>
    <row r="55" customFormat="false" ht="15" hidden="false" customHeight="false" outlineLevel="0" collapsed="false">
      <c r="A55" s="24"/>
      <c r="B55" s="25"/>
      <c r="C55" s="26"/>
      <c r="D55" s="26"/>
      <c r="E55" s="27" t="str">
        <f aca="false">IF(OR(C55="",D55=""),"",ROUND(MOD(D55-C55,1)*1440,0))</f>
        <v/>
      </c>
      <c r="F55" s="27" t="str">
        <f aca="false">IF(C55="","",IF(D55="","Нет ответа",IF(E55&lt;=Расчёт!$C$6,"Быстро","Поздно")))</f>
        <v/>
      </c>
      <c r="G55" s="25"/>
    </row>
    <row r="56" customFormat="false" ht="15" hidden="false" customHeight="false" outlineLevel="0" collapsed="false">
      <c r="A56" s="24"/>
      <c r="B56" s="25"/>
      <c r="C56" s="26"/>
      <c r="D56" s="26"/>
      <c r="E56" s="27" t="str">
        <f aca="false">IF(OR(C56="",D56=""),"",ROUND(MOD(D56-C56,1)*1440,0))</f>
        <v/>
      </c>
      <c r="F56" s="27" t="str">
        <f aca="false">IF(C56="","",IF(D56="","Нет ответа",IF(E56&lt;=Расчёт!$C$6,"Быстро","Поздно")))</f>
        <v/>
      </c>
      <c r="G56" s="25"/>
    </row>
    <row r="57" customFormat="false" ht="15" hidden="false" customHeight="false" outlineLevel="0" collapsed="false">
      <c r="A57" s="24"/>
      <c r="B57" s="25"/>
      <c r="C57" s="26"/>
      <c r="D57" s="26"/>
      <c r="E57" s="27" t="str">
        <f aca="false">IF(OR(C57="",D57=""),"",ROUND(MOD(D57-C57,1)*1440,0))</f>
        <v/>
      </c>
      <c r="F57" s="27" t="str">
        <f aca="false">IF(C57="","",IF(D57="","Нет ответа",IF(E57&lt;=Расчёт!$C$6,"Быстро","Поздно")))</f>
        <v/>
      </c>
      <c r="G57" s="25"/>
    </row>
    <row r="58" customFormat="false" ht="15" hidden="false" customHeight="false" outlineLevel="0" collapsed="false">
      <c r="A58" s="24"/>
      <c r="B58" s="25"/>
      <c r="C58" s="26"/>
      <c r="D58" s="26"/>
      <c r="E58" s="27" t="str">
        <f aca="false">IF(OR(C58="",D58=""),"",ROUND(MOD(D58-C58,1)*1440,0))</f>
        <v/>
      </c>
      <c r="F58" s="27" t="str">
        <f aca="false">IF(C58="","",IF(D58="","Нет ответа",IF(E58&lt;=Расчёт!$C$6,"Быстро","Поздно")))</f>
        <v/>
      </c>
      <c r="G58" s="25"/>
    </row>
    <row r="59" customFormat="false" ht="15" hidden="false" customHeight="false" outlineLevel="0" collapsed="false">
      <c r="A59" s="24"/>
      <c r="B59" s="25"/>
      <c r="C59" s="26"/>
      <c r="D59" s="26"/>
      <c r="E59" s="27" t="str">
        <f aca="false">IF(OR(C59="",D59=""),"",ROUND(MOD(D59-C59,1)*1440,0))</f>
        <v/>
      </c>
      <c r="F59" s="27" t="str">
        <f aca="false">IF(C59="","",IF(D59="","Нет ответа",IF(E59&lt;=Расчёт!$C$6,"Быстро","Поздно")))</f>
        <v/>
      </c>
      <c r="G59" s="25"/>
    </row>
    <row r="60" customFormat="false" ht="15" hidden="false" customHeight="false" outlineLevel="0" collapsed="false">
      <c r="A60" s="24"/>
      <c r="B60" s="25"/>
      <c r="C60" s="26"/>
      <c r="D60" s="26"/>
      <c r="E60" s="27" t="str">
        <f aca="false">IF(OR(C60="",D60=""),"",ROUND(MOD(D60-C60,1)*1440,0))</f>
        <v/>
      </c>
      <c r="F60" s="27" t="str">
        <f aca="false">IF(C60="","",IF(D60="","Нет ответа",IF(E60&lt;=Расчёт!$C$6,"Быстро","Поздно")))</f>
        <v/>
      </c>
      <c r="G60" s="25"/>
    </row>
    <row r="61" customFormat="false" ht="15" hidden="false" customHeight="false" outlineLevel="0" collapsed="false">
      <c r="A61" s="24"/>
      <c r="B61" s="25"/>
      <c r="C61" s="26"/>
      <c r="D61" s="26"/>
      <c r="E61" s="27" t="str">
        <f aca="false">IF(OR(C61="",D61=""),"",ROUND(MOD(D61-C61,1)*1440,0))</f>
        <v/>
      </c>
      <c r="F61" s="27" t="str">
        <f aca="false">IF(C61="","",IF(D61="","Нет ответа",IF(E61&lt;=Расчёт!$C$6,"Быстро","Поздно")))</f>
        <v/>
      </c>
      <c r="G61" s="25"/>
    </row>
    <row r="62" customFormat="false" ht="15" hidden="false" customHeight="false" outlineLevel="0" collapsed="false">
      <c r="A62" s="24"/>
      <c r="B62" s="25"/>
      <c r="C62" s="26"/>
      <c r="D62" s="26"/>
      <c r="E62" s="27" t="str">
        <f aca="false">IF(OR(C62="",D62=""),"",ROUND(MOD(D62-C62,1)*1440,0))</f>
        <v/>
      </c>
      <c r="F62" s="27" t="str">
        <f aca="false">IF(C62="","",IF(D62="","Нет ответа",IF(E62&lt;=Расчёт!$C$6,"Быстро","Поздно")))</f>
        <v/>
      </c>
      <c r="G62" s="25"/>
    </row>
    <row r="63" customFormat="false" ht="15" hidden="false" customHeight="false" outlineLevel="0" collapsed="false">
      <c r="A63" s="24"/>
      <c r="B63" s="25"/>
      <c r="C63" s="26"/>
      <c r="D63" s="26"/>
      <c r="E63" s="27" t="str">
        <f aca="false">IF(OR(C63="",D63=""),"",ROUND(MOD(D63-C63,1)*1440,0))</f>
        <v/>
      </c>
      <c r="F63" s="27" t="str">
        <f aca="false">IF(C63="","",IF(D63="","Нет ответа",IF(E63&lt;=Расчёт!$C$6,"Быстро","Поздно")))</f>
        <v/>
      </c>
      <c r="G63" s="25"/>
    </row>
    <row r="64" customFormat="false" ht="15" hidden="false" customHeight="false" outlineLevel="0" collapsed="false">
      <c r="A64" s="24"/>
      <c r="B64" s="25"/>
      <c r="C64" s="26"/>
      <c r="D64" s="26"/>
      <c r="E64" s="27" t="str">
        <f aca="false">IF(OR(C64="",D64=""),"",ROUND(MOD(D64-C64,1)*1440,0))</f>
        <v/>
      </c>
      <c r="F64" s="27" t="str">
        <f aca="false">IF(C64="","",IF(D64="","Нет ответа",IF(E64&lt;=Расчёт!$C$6,"Быстро","Поздно")))</f>
        <v/>
      </c>
      <c r="G64" s="25"/>
    </row>
    <row r="65" customFormat="false" ht="15" hidden="false" customHeight="false" outlineLevel="0" collapsed="false">
      <c r="A65" s="24"/>
      <c r="B65" s="25"/>
      <c r="C65" s="26"/>
      <c r="D65" s="26"/>
      <c r="E65" s="27" t="str">
        <f aca="false">IF(OR(C65="",D65=""),"",ROUND(MOD(D65-C65,1)*1440,0))</f>
        <v/>
      </c>
      <c r="F65" s="27" t="str">
        <f aca="false">IF(C65="","",IF(D65="","Нет ответа",IF(E65&lt;=Расчёт!$C$6,"Быстро","Поздно")))</f>
        <v/>
      </c>
      <c r="G65" s="25"/>
    </row>
    <row r="66" customFormat="false" ht="15" hidden="false" customHeight="false" outlineLevel="0" collapsed="false">
      <c r="A66" s="24"/>
      <c r="B66" s="25"/>
      <c r="C66" s="26"/>
      <c r="D66" s="26"/>
      <c r="E66" s="27" t="str">
        <f aca="false">IF(OR(C66="",D66=""),"",ROUND(MOD(D66-C66,1)*1440,0))</f>
        <v/>
      </c>
      <c r="F66" s="27" t="str">
        <f aca="false">IF(C66="","",IF(D66="","Нет ответа",IF(E66&lt;=Расчёт!$C$6,"Быстро","Поздно")))</f>
        <v/>
      </c>
      <c r="G66" s="25"/>
    </row>
    <row r="67" customFormat="false" ht="15" hidden="false" customHeight="false" outlineLevel="0" collapsed="false">
      <c r="A67" s="24"/>
      <c r="B67" s="25"/>
      <c r="C67" s="26"/>
      <c r="D67" s="26"/>
      <c r="E67" s="27" t="str">
        <f aca="false">IF(OR(C67="",D67=""),"",ROUND(MOD(D67-C67,1)*1440,0))</f>
        <v/>
      </c>
      <c r="F67" s="27" t="str">
        <f aca="false">IF(C67="","",IF(D67="","Нет ответа",IF(E67&lt;=Расчёт!$C$6,"Быстро","Поздно")))</f>
        <v/>
      </c>
      <c r="G67" s="25"/>
    </row>
    <row r="68" customFormat="false" ht="15" hidden="false" customHeight="false" outlineLevel="0" collapsed="false">
      <c r="A68" s="24"/>
      <c r="B68" s="25"/>
      <c r="C68" s="26"/>
      <c r="D68" s="26"/>
      <c r="E68" s="27" t="str">
        <f aca="false">IF(OR(C68="",D68=""),"",ROUND(MOD(D68-C68,1)*1440,0))</f>
        <v/>
      </c>
      <c r="F68" s="27" t="str">
        <f aca="false">IF(C68="","",IF(D68="","Нет ответа",IF(E68&lt;=Расчёт!$C$6,"Быстро","Поздно")))</f>
        <v/>
      </c>
      <c r="G68" s="25"/>
    </row>
    <row r="69" customFormat="false" ht="15" hidden="false" customHeight="false" outlineLevel="0" collapsed="false">
      <c r="A69" s="24"/>
      <c r="B69" s="25"/>
      <c r="C69" s="26"/>
      <c r="D69" s="26"/>
      <c r="E69" s="27" t="str">
        <f aca="false">IF(OR(C69="",D69=""),"",ROUND(MOD(D69-C69,1)*1440,0))</f>
        <v/>
      </c>
      <c r="F69" s="27" t="str">
        <f aca="false">IF(C69="","",IF(D69="","Нет ответа",IF(E69&lt;=Расчёт!$C$6,"Быстро","Поздно")))</f>
        <v/>
      </c>
      <c r="G69" s="25"/>
    </row>
    <row r="70" customFormat="false" ht="15" hidden="false" customHeight="false" outlineLevel="0" collapsed="false">
      <c r="A70" s="24"/>
      <c r="B70" s="25"/>
      <c r="C70" s="26"/>
      <c r="D70" s="26"/>
      <c r="E70" s="27" t="str">
        <f aca="false">IF(OR(C70="",D70=""),"",ROUND(MOD(D70-C70,1)*1440,0))</f>
        <v/>
      </c>
      <c r="F70" s="27" t="str">
        <f aca="false">IF(C70="","",IF(D70="","Нет ответа",IF(E70&lt;=Расчёт!$C$6,"Быстро","Поздно")))</f>
        <v/>
      </c>
      <c r="G70" s="25"/>
    </row>
    <row r="71" customFormat="false" ht="15" hidden="false" customHeight="false" outlineLevel="0" collapsed="false">
      <c r="A71" s="24"/>
      <c r="B71" s="25"/>
      <c r="C71" s="26"/>
      <c r="D71" s="26"/>
      <c r="E71" s="27" t="str">
        <f aca="false">IF(OR(C71="",D71=""),"",ROUND(MOD(D71-C71,1)*1440,0))</f>
        <v/>
      </c>
      <c r="F71" s="27" t="str">
        <f aca="false">IF(C71="","",IF(D71="","Нет ответа",IF(E71&lt;=Расчёт!$C$6,"Быстро","Поздно")))</f>
        <v/>
      </c>
      <c r="G71" s="25"/>
    </row>
    <row r="72" customFormat="false" ht="15" hidden="false" customHeight="false" outlineLevel="0" collapsed="false">
      <c r="A72" s="24"/>
      <c r="B72" s="25"/>
      <c r="C72" s="26"/>
      <c r="D72" s="26"/>
      <c r="E72" s="27" t="str">
        <f aca="false">IF(OR(C72="",D72=""),"",ROUND(MOD(D72-C72,1)*1440,0))</f>
        <v/>
      </c>
      <c r="F72" s="27" t="str">
        <f aca="false">IF(C72="","",IF(D72="","Нет ответа",IF(E72&lt;=Расчёт!$C$6,"Быстро","Поздно")))</f>
        <v/>
      </c>
      <c r="G72" s="25"/>
    </row>
    <row r="73" customFormat="false" ht="15" hidden="false" customHeight="false" outlineLevel="0" collapsed="false">
      <c r="A73" s="24"/>
      <c r="B73" s="25"/>
      <c r="C73" s="26"/>
      <c r="D73" s="26"/>
      <c r="E73" s="27" t="str">
        <f aca="false">IF(OR(C73="",D73=""),"",ROUND(MOD(D73-C73,1)*1440,0))</f>
        <v/>
      </c>
      <c r="F73" s="27" t="str">
        <f aca="false">IF(C73="","",IF(D73="","Нет ответа",IF(E73&lt;=Расчёт!$C$6,"Быстро","Поздно")))</f>
        <v/>
      </c>
      <c r="G73" s="25"/>
    </row>
    <row r="74" customFormat="false" ht="15" hidden="false" customHeight="false" outlineLevel="0" collapsed="false">
      <c r="A74" s="24"/>
      <c r="B74" s="25"/>
      <c r="C74" s="26"/>
      <c r="D74" s="26"/>
      <c r="E74" s="27" t="str">
        <f aca="false">IF(OR(C74="",D74=""),"",ROUND(MOD(D74-C74,1)*1440,0))</f>
        <v/>
      </c>
      <c r="F74" s="27" t="str">
        <f aca="false">IF(C74="","",IF(D74="","Нет ответа",IF(E74&lt;=Расчёт!$C$6,"Быстро","Поздно")))</f>
        <v/>
      </c>
      <c r="G74" s="25"/>
    </row>
    <row r="75" customFormat="false" ht="15" hidden="false" customHeight="false" outlineLevel="0" collapsed="false">
      <c r="A75" s="24"/>
      <c r="B75" s="25"/>
      <c r="C75" s="26"/>
      <c r="D75" s="26"/>
      <c r="E75" s="27" t="str">
        <f aca="false">IF(OR(C75="",D75=""),"",ROUND(MOD(D75-C75,1)*1440,0))</f>
        <v/>
      </c>
      <c r="F75" s="27" t="str">
        <f aca="false">IF(C75="","",IF(D75="","Нет ответа",IF(E75&lt;=Расчёт!$C$6,"Быстро","Поздно")))</f>
        <v/>
      </c>
      <c r="G75" s="25"/>
    </row>
    <row r="76" customFormat="false" ht="15" hidden="false" customHeight="false" outlineLevel="0" collapsed="false">
      <c r="A76" s="24"/>
      <c r="B76" s="25"/>
      <c r="C76" s="26"/>
      <c r="D76" s="26"/>
      <c r="E76" s="27" t="str">
        <f aca="false">IF(OR(C76="",D76=""),"",ROUND(MOD(D76-C76,1)*1440,0))</f>
        <v/>
      </c>
      <c r="F76" s="27" t="str">
        <f aca="false">IF(C76="","",IF(D76="","Нет ответа",IF(E76&lt;=Расчёт!$C$6,"Быстро","Поздно")))</f>
        <v/>
      </c>
      <c r="G76" s="25"/>
    </row>
    <row r="77" customFormat="false" ht="15" hidden="false" customHeight="false" outlineLevel="0" collapsed="false">
      <c r="A77" s="24"/>
      <c r="B77" s="25"/>
      <c r="C77" s="26"/>
      <c r="D77" s="26"/>
      <c r="E77" s="27" t="str">
        <f aca="false">IF(OR(C77="",D77=""),"",ROUND(MOD(D77-C77,1)*1440,0))</f>
        <v/>
      </c>
      <c r="F77" s="27" t="str">
        <f aca="false">IF(C77="","",IF(D77="","Нет ответа",IF(E77&lt;=Расчёт!$C$6,"Быстро","Поздно")))</f>
        <v/>
      </c>
      <c r="G77" s="25"/>
    </row>
    <row r="78" customFormat="false" ht="15" hidden="false" customHeight="false" outlineLevel="0" collapsed="false">
      <c r="A78" s="24"/>
      <c r="B78" s="25"/>
      <c r="C78" s="26"/>
      <c r="D78" s="26"/>
      <c r="E78" s="27" t="str">
        <f aca="false">IF(OR(C78="",D78=""),"",ROUND(MOD(D78-C78,1)*1440,0))</f>
        <v/>
      </c>
      <c r="F78" s="27" t="str">
        <f aca="false">IF(C78="","",IF(D78="","Нет ответа",IF(E78&lt;=Расчёт!$C$6,"Быстро","Поздно")))</f>
        <v/>
      </c>
      <c r="G78" s="25"/>
    </row>
    <row r="79" customFormat="false" ht="15" hidden="false" customHeight="false" outlineLevel="0" collapsed="false">
      <c r="A79" s="24"/>
      <c r="B79" s="25"/>
      <c r="C79" s="26"/>
      <c r="D79" s="26"/>
      <c r="E79" s="27" t="str">
        <f aca="false">IF(OR(C79="",D79=""),"",ROUND(MOD(D79-C79,1)*1440,0))</f>
        <v/>
      </c>
      <c r="F79" s="27" t="str">
        <f aca="false">IF(C79="","",IF(D79="","Нет ответа",IF(E79&lt;=Расчёт!$C$6,"Быстро","Поздно")))</f>
        <v/>
      </c>
      <c r="G79" s="25"/>
    </row>
    <row r="80" customFormat="false" ht="15" hidden="false" customHeight="false" outlineLevel="0" collapsed="false">
      <c r="A80" s="24"/>
      <c r="B80" s="25"/>
      <c r="C80" s="26"/>
      <c r="D80" s="26"/>
      <c r="E80" s="27" t="str">
        <f aca="false">IF(OR(C80="",D80=""),"",ROUND(MOD(D80-C80,1)*1440,0))</f>
        <v/>
      </c>
      <c r="F80" s="27" t="str">
        <f aca="false">IF(C80="","",IF(D80="","Нет ответа",IF(E80&lt;=Расчёт!$C$6,"Быстро","Поздно")))</f>
        <v/>
      </c>
      <c r="G80" s="25"/>
    </row>
    <row r="81" customFormat="false" ht="15" hidden="false" customHeight="false" outlineLevel="0" collapsed="false">
      <c r="A81" s="24"/>
      <c r="B81" s="25"/>
      <c r="C81" s="26"/>
      <c r="D81" s="26"/>
      <c r="E81" s="27" t="str">
        <f aca="false">IF(OR(C81="",D81=""),"",ROUND(MOD(D81-C81,1)*1440,0))</f>
        <v/>
      </c>
      <c r="F81" s="27" t="str">
        <f aca="false">IF(C81="","",IF(D81="","Нет ответа",IF(E81&lt;=Расчёт!$C$6,"Быстро","Поздно")))</f>
        <v/>
      </c>
      <c r="G81" s="25"/>
    </row>
    <row r="82" customFormat="false" ht="15" hidden="false" customHeight="false" outlineLevel="0" collapsed="false">
      <c r="A82" s="24"/>
      <c r="B82" s="25"/>
      <c r="C82" s="26"/>
      <c r="D82" s="26"/>
      <c r="E82" s="27" t="str">
        <f aca="false">IF(OR(C82="",D82=""),"",ROUND(MOD(D82-C82,1)*1440,0))</f>
        <v/>
      </c>
      <c r="F82" s="27" t="str">
        <f aca="false">IF(C82="","",IF(D82="","Нет ответа",IF(E82&lt;=Расчёт!$C$6,"Быстро","Поздно")))</f>
        <v/>
      </c>
      <c r="G82" s="25"/>
    </row>
    <row r="83" customFormat="false" ht="15" hidden="false" customHeight="false" outlineLevel="0" collapsed="false">
      <c r="A83" s="24"/>
      <c r="B83" s="25"/>
      <c r="C83" s="26"/>
      <c r="D83" s="26"/>
      <c r="E83" s="27" t="str">
        <f aca="false">IF(OR(C83="",D83=""),"",ROUND(MOD(D83-C83,1)*1440,0))</f>
        <v/>
      </c>
      <c r="F83" s="27" t="str">
        <f aca="false">IF(C83="","",IF(D83="","Нет ответа",IF(E83&lt;=Расчёт!$C$6,"Быстро","Поздно")))</f>
        <v/>
      </c>
      <c r="G83" s="25"/>
    </row>
    <row r="84" customFormat="false" ht="15" hidden="false" customHeight="false" outlineLevel="0" collapsed="false">
      <c r="A84" s="24"/>
      <c r="B84" s="25"/>
      <c r="C84" s="26"/>
      <c r="D84" s="26"/>
      <c r="E84" s="27" t="str">
        <f aca="false">IF(OR(C84="",D84=""),"",ROUND(MOD(D84-C84,1)*1440,0))</f>
        <v/>
      </c>
      <c r="F84" s="27" t="str">
        <f aca="false">IF(C84="","",IF(D84="","Нет ответа",IF(E84&lt;=Расчёт!$C$6,"Быстро","Поздно")))</f>
        <v/>
      </c>
      <c r="G84" s="25"/>
    </row>
    <row r="85" customFormat="false" ht="15" hidden="false" customHeight="false" outlineLevel="0" collapsed="false">
      <c r="A85" s="24"/>
      <c r="B85" s="25"/>
      <c r="C85" s="26"/>
      <c r="D85" s="26"/>
      <c r="E85" s="27" t="str">
        <f aca="false">IF(OR(C85="",D85=""),"",ROUND(MOD(D85-C85,1)*1440,0))</f>
        <v/>
      </c>
      <c r="F85" s="27" t="str">
        <f aca="false">IF(C85="","",IF(D85="","Нет ответа",IF(E85&lt;=Расчёт!$C$6,"Быстро","Поздно")))</f>
        <v/>
      </c>
      <c r="G85" s="25"/>
    </row>
    <row r="86" customFormat="false" ht="15" hidden="false" customHeight="false" outlineLevel="0" collapsed="false">
      <c r="A86" s="24"/>
      <c r="B86" s="25"/>
      <c r="C86" s="26"/>
      <c r="D86" s="26"/>
      <c r="E86" s="27" t="str">
        <f aca="false">IF(OR(C86="",D86=""),"",ROUND(MOD(D86-C86,1)*1440,0))</f>
        <v/>
      </c>
      <c r="F86" s="27" t="str">
        <f aca="false">IF(C86="","",IF(D86="","Нет ответа",IF(E86&lt;=Расчёт!$C$6,"Быстро","Поздно")))</f>
        <v/>
      </c>
      <c r="G86" s="25"/>
    </row>
    <row r="87" customFormat="false" ht="15" hidden="false" customHeight="false" outlineLevel="0" collapsed="false">
      <c r="A87" s="24"/>
      <c r="B87" s="25"/>
      <c r="C87" s="26"/>
      <c r="D87" s="26"/>
      <c r="E87" s="27" t="str">
        <f aca="false">IF(OR(C87="",D87=""),"",ROUND(MOD(D87-C87,1)*1440,0))</f>
        <v/>
      </c>
      <c r="F87" s="27" t="str">
        <f aca="false">IF(C87="","",IF(D87="","Нет ответа",IF(E87&lt;=Расчёт!$C$6,"Быстро","Поздно")))</f>
        <v/>
      </c>
      <c r="G87" s="25"/>
    </row>
    <row r="88" customFormat="false" ht="15" hidden="false" customHeight="false" outlineLevel="0" collapsed="false">
      <c r="A88" s="24"/>
      <c r="B88" s="25"/>
      <c r="C88" s="26"/>
      <c r="D88" s="26"/>
      <c r="E88" s="27" t="str">
        <f aca="false">IF(OR(C88="",D88=""),"",ROUND(MOD(D88-C88,1)*1440,0))</f>
        <v/>
      </c>
      <c r="F88" s="27" t="str">
        <f aca="false">IF(C88="","",IF(D88="","Нет ответа",IF(E88&lt;=Расчёт!$C$6,"Быстро","Поздно")))</f>
        <v/>
      </c>
      <c r="G88" s="25"/>
    </row>
    <row r="89" customFormat="false" ht="15" hidden="false" customHeight="false" outlineLevel="0" collapsed="false">
      <c r="A89" s="24"/>
      <c r="B89" s="25"/>
      <c r="C89" s="26"/>
      <c r="D89" s="26"/>
      <c r="E89" s="27" t="str">
        <f aca="false">IF(OR(C89="",D89=""),"",ROUND(MOD(D89-C89,1)*1440,0))</f>
        <v/>
      </c>
      <c r="F89" s="27" t="str">
        <f aca="false">IF(C89="","",IF(D89="","Нет ответа",IF(E89&lt;=Расчёт!$C$6,"Быстро","Поздно")))</f>
        <v/>
      </c>
      <c r="G89" s="25"/>
    </row>
    <row r="90" customFormat="false" ht="15" hidden="false" customHeight="false" outlineLevel="0" collapsed="false">
      <c r="A90" s="24"/>
      <c r="B90" s="25"/>
      <c r="C90" s="26"/>
      <c r="D90" s="26"/>
      <c r="E90" s="27" t="str">
        <f aca="false">IF(OR(C90="",D90=""),"",ROUND(MOD(D90-C90,1)*1440,0))</f>
        <v/>
      </c>
      <c r="F90" s="27" t="str">
        <f aca="false">IF(C90="","",IF(D90="","Нет ответа",IF(E90&lt;=Расчёт!$C$6,"Быстро","Поздно")))</f>
        <v/>
      </c>
      <c r="G90" s="25"/>
    </row>
    <row r="91" customFormat="false" ht="15" hidden="false" customHeight="false" outlineLevel="0" collapsed="false">
      <c r="A91" s="24"/>
      <c r="B91" s="25"/>
      <c r="C91" s="26"/>
      <c r="D91" s="26"/>
      <c r="E91" s="27" t="str">
        <f aca="false">IF(OR(C91="",D91=""),"",ROUND(MOD(D91-C91,1)*1440,0))</f>
        <v/>
      </c>
      <c r="F91" s="27" t="str">
        <f aca="false">IF(C91="","",IF(D91="","Нет ответа",IF(E91&lt;=Расчёт!$C$6,"Быстро","Поздно")))</f>
        <v/>
      </c>
      <c r="G91" s="25"/>
    </row>
    <row r="92" customFormat="false" ht="15" hidden="false" customHeight="false" outlineLevel="0" collapsed="false">
      <c r="A92" s="24"/>
      <c r="B92" s="25"/>
      <c r="C92" s="26"/>
      <c r="D92" s="26"/>
      <c r="E92" s="27" t="str">
        <f aca="false">IF(OR(C92="",D92=""),"",ROUND(MOD(D92-C92,1)*1440,0))</f>
        <v/>
      </c>
      <c r="F92" s="27" t="str">
        <f aca="false">IF(C92="","",IF(D92="","Нет ответа",IF(E92&lt;=Расчёт!$C$6,"Быстро","Поздно")))</f>
        <v/>
      </c>
      <c r="G92" s="25"/>
    </row>
    <row r="93" customFormat="false" ht="15" hidden="false" customHeight="false" outlineLevel="0" collapsed="false">
      <c r="A93" s="24"/>
      <c r="B93" s="25"/>
      <c r="C93" s="26"/>
      <c r="D93" s="26"/>
      <c r="E93" s="27" t="str">
        <f aca="false">IF(OR(C93="",D93=""),"",ROUND(MOD(D93-C93,1)*1440,0))</f>
        <v/>
      </c>
      <c r="F93" s="27" t="str">
        <f aca="false">IF(C93="","",IF(D93="","Нет ответа",IF(E93&lt;=Расчёт!$C$6,"Быстро","Поздно")))</f>
        <v/>
      </c>
      <c r="G93" s="25"/>
    </row>
    <row r="94" customFormat="false" ht="15" hidden="false" customHeight="false" outlineLevel="0" collapsed="false">
      <c r="A94" s="24"/>
      <c r="B94" s="25"/>
      <c r="C94" s="26"/>
      <c r="D94" s="26"/>
      <c r="E94" s="27" t="str">
        <f aca="false">IF(OR(C94="",D94=""),"",ROUND(MOD(D94-C94,1)*1440,0))</f>
        <v/>
      </c>
      <c r="F94" s="27" t="str">
        <f aca="false">IF(C94="","",IF(D94="","Нет ответа",IF(E94&lt;=Расчёт!$C$6,"Быстро","Поздно")))</f>
        <v/>
      </c>
      <c r="G94" s="25"/>
    </row>
    <row r="95" customFormat="false" ht="15" hidden="false" customHeight="false" outlineLevel="0" collapsed="false">
      <c r="A95" s="24"/>
      <c r="B95" s="25"/>
      <c r="C95" s="26"/>
      <c r="D95" s="26"/>
      <c r="E95" s="27" t="str">
        <f aca="false">IF(OR(C95="",D95=""),"",ROUND(MOD(D95-C95,1)*1440,0))</f>
        <v/>
      </c>
      <c r="F95" s="27" t="str">
        <f aca="false">IF(C95="","",IF(D95="","Нет ответа",IF(E95&lt;=Расчёт!$C$6,"Быстро","Поздно")))</f>
        <v/>
      </c>
      <c r="G95" s="25"/>
    </row>
    <row r="96" customFormat="false" ht="15" hidden="false" customHeight="false" outlineLevel="0" collapsed="false">
      <c r="A96" s="24"/>
      <c r="B96" s="25"/>
      <c r="C96" s="26"/>
      <c r="D96" s="26"/>
      <c r="E96" s="27" t="str">
        <f aca="false">IF(OR(C96="",D96=""),"",ROUND(MOD(D96-C96,1)*1440,0))</f>
        <v/>
      </c>
      <c r="F96" s="27" t="str">
        <f aca="false">IF(C96="","",IF(D96="","Нет ответа",IF(E96&lt;=Расчёт!$C$6,"Быстро","Поздно")))</f>
        <v/>
      </c>
      <c r="G96" s="25"/>
    </row>
    <row r="97" customFormat="false" ht="15" hidden="false" customHeight="false" outlineLevel="0" collapsed="false">
      <c r="A97" s="24"/>
      <c r="B97" s="25"/>
      <c r="C97" s="26"/>
      <c r="D97" s="26"/>
      <c r="E97" s="27" t="str">
        <f aca="false">IF(OR(C97="",D97=""),"",ROUND(MOD(D97-C97,1)*1440,0))</f>
        <v/>
      </c>
      <c r="F97" s="27" t="str">
        <f aca="false">IF(C97="","",IF(D97="","Нет ответа",IF(E97&lt;=Расчёт!$C$6,"Быстро","Поздно")))</f>
        <v/>
      </c>
      <c r="G97" s="25"/>
    </row>
    <row r="98" customFormat="false" ht="15" hidden="false" customHeight="false" outlineLevel="0" collapsed="false">
      <c r="A98" s="24"/>
      <c r="B98" s="25"/>
      <c r="C98" s="26"/>
      <c r="D98" s="26"/>
      <c r="E98" s="27" t="str">
        <f aca="false">IF(OR(C98="",D98=""),"",ROUND(MOD(D98-C98,1)*1440,0))</f>
        <v/>
      </c>
      <c r="F98" s="27" t="str">
        <f aca="false">IF(C98="","",IF(D98="","Нет ответа",IF(E98&lt;=Расчёт!$C$6,"Быстро","Поздно")))</f>
        <v/>
      </c>
      <c r="G98" s="25"/>
    </row>
    <row r="99" customFormat="false" ht="15" hidden="false" customHeight="false" outlineLevel="0" collapsed="false">
      <c r="A99" s="24"/>
      <c r="B99" s="25"/>
      <c r="C99" s="26"/>
      <c r="D99" s="26"/>
      <c r="E99" s="27" t="str">
        <f aca="false">IF(OR(C99="",D99=""),"",ROUND(MOD(D99-C99,1)*1440,0))</f>
        <v/>
      </c>
      <c r="F99" s="27" t="str">
        <f aca="false">IF(C99="","",IF(D99="","Нет ответа",IF(E99&lt;=Расчёт!$C$6,"Быстро","Поздно")))</f>
        <v/>
      </c>
      <c r="G99" s="25"/>
    </row>
    <row r="100" customFormat="false" ht="15" hidden="false" customHeight="false" outlineLevel="0" collapsed="false">
      <c r="A100" s="24"/>
      <c r="B100" s="25"/>
      <c r="C100" s="26"/>
      <c r="D100" s="26"/>
      <c r="E100" s="27" t="str">
        <f aca="false">IF(OR(C100="",D100=""),"",ROUND(MOD(D100-C100,1)*1440,0))</f>
        <v/>
      </c>
      <c r="F100" s="27" t="str">
        <f aca="false">IF(C100="","",IF(D100="","Нет ответа",IF(E100&lt;=Расчёт!$C$6,"Быстро","Поздно")))</f>
        <v/>
      </c>
      <c r="G100" s="25"/>
    </row>
    <row r="101" customFormat="false" ht="15" hidden="false" customHeight="false" outlineLevel="0" collapsed="false">
      <c r="A101" s="24"/>
      <c r="B101" s="25"/>
      <c r="C101" s="26"/>
      <c r="D101" s="26"/>
      <c r="E101" s="27" t="str">
        <f aca="false">IF(OR(C101="",D101=""),"",ROUND(MOD(D101-C101,1)*1440,0))</f>
        <v/>
      </c>
      <c r="F101" s="27" t="str">
        <f aca="false">IF(C101="","",IF(D101="","Нет ответа",IF(E101&lt;=Расчёт!$C$6,"Быстро","Поздно")))</f>
        <v/>
      </c>
      <c r="G101" s="25"/>
    </row>
    <row r="102" customFormat="false" ht="15" hidden="false" customHeight="false" outlineLevel="0" collapsed="false">
      <c r="A102" s="24"/>
      <c r="B102" s="25"/>
      <c r="C102" s="26"/>
      <c r="D102" s="26"/>
      <c r="E102" s="27" t="str">
        <f aca="false">IF(OR(C102="",D102=""),"",ROUND(MOD(D102-C102,1)*1440,0))</f>
        <v/>
      </c>
      <c r="F102" s="27" t="str">
        <f aca="false">IF(C102="","",IF(D102="","Нет ответа",IF(E102&lt;=Расчёт!$C$6,"Быстро","Поздно")))</f>
        <v/>
      </c>
      <c r="G102" s="25"/>
    </row>
    <row r="103" customFormat="false" ht="15" hidden="false" customHeight="false" outlineLevel="0" collapsed="false">
      <c r="A103" s="24"/>
      <c r="B103" s="25"/>
      <c r="C103" s="26"/>
      <c r="D103" s="26"/>
      <c r="E103" s="27" t="str">
        <f aca="false">IF(OR(C103="",D103=""),"",ROUND(MOD(D103-C103,1)*1440,0))</f>
        <v/>
      </c>
      <c r="F103" s="27" t="str">
        <f aca="false">IF(C103="","",IF(D103="","Нет ответа",IF(E103&lt;=Расчёт!$C$6,"Быстро","Поздно")))</f>
        <v/>
      </c>
      <c r="G103" s="25"/>
    </row>
    <row r="104" customFormat="false" ht="15" hidden="false" customHeight="false" outlineLevel="0" collapsed="false">
      <c r="A104" s="24"/>
      <c r="B104" s="25"/>
      <c r="C104" s="26"/>
      <c r="D104" s="26"/>
      <c r="E104" s="27" t="str">
        <f aca="false">IF(OR(C104="",D104=""),"",ROUND(MOD(D104-C104,1)*1440,0))</f>
        <v/>
      </c>
      <c r="F104" s="27" t="str">
        <f aca="false">IF(C104="","",IF(D104="","Нет ответа",IF(E104&lt;=Расчёт!$C$6,"Быстро","Поздно")))</f>
        <v/>
      </c>
      <c r="G104" s="25"/>
    </row>
    <row r="105" customFormat="false" ht="15" hidden="false" customHeight="false" outlineLevel="0" collapsed="false">
      <c r="A105" s="24"/>
      <c r="B105" s="25"/>
      <c r="C105" s="26"/>
      <c r="D105" s="26"/>
      <c r="E105" s="27" t="str">
        <f aca="false">IF(OR(C105="",D105=""),"",ROUND(MOD(D105-C105,1)*1440,0))</f>
        <v/>
      </c>
      <c r="F105" s="27" t="str">
        <f aca="false">IF(C105="","",IF(D105="","Нет ответа",IF(E105&lt;=Расчёт!$C$6,"Быстро","Поздно")))</f>
        <v/>
      </c>
      <c r="G105" s="25"/>
    </row>
    <row r="106" customFormat="false" ht="15" hidden="false" customHeight="false" outlineLevel="0" collapsed="false">
      <c r="A106" s="24"/>
      <c r="B106" s="25"/>
      <c r="C106" s="26"/>
      <c r="D106" s="26"/>
      <c r="E106" s="27" t="str">
        <f aca="false">IF(OR(C106="",D106=""),"",ROUND(MOD(D106-C106,1)*1440,0))</f>
        <v/>
      </c>
      <c r="F106" s="27" t="str">
        <f aca="false">IF(C106="","",IF(D106="","Нет ответа",IF(E106&lt;=Расчёт!$C$6,"Быстро","Поздно")))</f>
        <v/>
      </c>
      <c r="G106" s="25"/>
    </row>
    <row r="107" customFormat="false" ht="15" hidden="false" customHeight="false" outlineLevel="0" collapsed="false">
      <c r="A107" s="24"/>
      <c r="B107" s="25"/>
      <c r="C107" s="26"/>
      <c r="D107" s="26"/>
      <c r="E107" s="27" t="str">
        <f aca="false">IF(OR(C107="",D107=""),"",ROUND(MOD(D107-C107,1)*1440,0))</f>
        <v/>
      </c>
      <c r="F107" s="27" t="str">
        <f aca="false">IF(C107="","",IF(D107="","Нет ответа",IF(E107&lt;=Расчёт!$C$6,"Быстро","Поздно")))</f>
        <v/>
      </c>
      <c r="G107" s="25"/>
    </row>
    <row r="108" customFormat="false" ht="15" hidden="false" customHeight="false" outlineLevel="0" collapsed="false">
      <c r="A108" s="24"/>
      <c r="B108" s="25"/>
      <c r="C108" s="26"/>
      <c r="D108" s="26"/>
      <c r="E108" s="27" t="str">
        <f aca="false">IF(OR(C108="",D108=""),"",ROUND(MOD(D108-C108,1)*1440,0))</f>
        <v/>
      </c>
      <c r="F108" s="27" t="str">
        <f aca="false">IF(C108="","",IF(D108="","Нет ответа",IF(E108&lt;=Расчёт!$C$6,"Быстро","Поздно")))</f>
        <v/>
      </c>
      <c r="G108" s="25"/>
    </row>
    <row r="109" customFormat="false" ht="15" hidden="false" customHeight="false" outlineLevel="0" collapsed="false">
      <c r="A109" s="24"/>
      <c r="B109" s="25"/>
      <c r="C109" s="26"/>
      <c r="D109" s="26"/>
      <c r="E109" s="27" t="str">
        <f aca="false">IF(OR(C109="",D109=""),"",ROUND(MOD(D109-C109,1)*1440,0))</f>
        <v/>
      </c>
      <c r="F109" s="27" t="str">
        <f aca="false">IF(C109="","",IF(D109="","Нет ответа",IF(E109&lt;=Расчёт!$C$6,"Быстро","Поздно")))</f>
        <v/>
      </c>
      <c r="G109" s="25"/>
    </row>
    <row r="110" customFormat="false" ht="15" hidden="false" customHeight="false" outlineLevel="0" collapsed="false">
      <c r="A110" s="24"/>
      <c r="B110" s="25"/>
      <c r="C110" s="26"/>
      <c r="D110" s="26"/>
      <c r="E110" s="27" t="str">
        <f aca="false">IF(OR(C110="",D110=""),"",ROUND(MOD(D110-C110,1)*1440,0))</f>
        <v/>
      </c>
      <c r="F110" s="27" t="str">
        <f aca="false">IF(C110="","",IF(D110="","Нет ответа",IF(E110&lt;=Расчёт!$C$6,"Быстро","Поздно")))</f>
        <v/>
      </c>
      <c r="G110" s="25"/>
    </row>
    <row r="111" customFormat="false" ht="15" hidden="false" customHeight="false" outlineLevel="0" collapsed="false">
      <c r="A111" s="24"/>
      <c r="B111" s="25"/>
      <c r="C111" s="26"/>
      <c r="D111" s="26"/>
      <c r="E111" s="27" t="str">
        <f aca="false">IF(OR(C111="",D111=""),"",ROUND(MOD(D111-C111,1)*1440,0))</f>
        <v/>
      </c>
      <c r="F111" s="27" t="str">
        <f aca="false">IF(C111="","",IF(D111="","Нет ответа",IF(E111&lt;=Расчёт!$C$6,"Быстро","Поздно")))</f>
        <v/>
      </c>
      <c r="G111" s="25"/>
    </row>
    <row r="112" customFormat="false" ht="15" hidden="false" customHeight="false" outlineLevel="0" collapsed="false">
      <c r="A112" s="24"/>
      <c r="B112" s="25"/>
      <c r="C112" s="26"/>
      <c r="D112" s="26"/>
      <c r="E112" s="27" t="str">
        <f aca="false">IF(OR(C112="",D112=""),"",ROUND(MOD(D112-C112,1)*1440,0))</f>
        <v/>
      </c>
      <c r="F112" s="27" t="str">
        <f aca="false">IF(C112="","",IF(D112="","Нет ответа",IF(E112&lt;=Расчёт!$C$6,"Быстро","Поздно")))</f>
        <v/>
      </c>
      <c r="G112" s="25"/>
    </row>
    <row r="113" customFormat="false" ht="15" hidden="false" customHeight="false" outlineLevel="0" collapsed="false">
      <c r="A113" s="24"/>
      <c r="B113" s="25"/>
      <c r="C113" s="26"/>
      <c r="D113" s="26"/>
      <c r="E113" s="27" t="str">
        <f aca="false">IF(OR(C113="",D113=""),"",ROUND(MOD(D113-C113,1)*1440,0))</f>
        <v/>
      </c>
      <c r="F113" s="27" t="str">
        <f aca="false">IF(C113="","",IF(D113="","Нет ответа",IF(E113&lt;=Расчёт!$C$6,"Быстро","Поздно")))</f>
        <v/>
      </c>
      <c r="G113" s="25"/>
    </row>
    <row r="114" customFormat="false" ht="15" hidden="false" customHeight="false" outlineLevel="0" collapsed="false">
      <c r="A114" s="24"/>
      <c r="B114" s="25"/>
      <c r="C114" s="26"/>
      <c r="D114" s="26"/>
      <c r="E114" s="27" t="str">
        <f aca="false">IF(OR(C114="",D114=""),"",ROUND(MOD(D114-C114,1)*1440,0))</f>
        <v/>
      </c>
      <c r="F114" s="27" t="str">
        <f aca="false">IF(C114="","",IF(D114="","Нет ответа",IF(E114&lt;=Расчёт!$C$6,"Быстро","Поздно")))</f>
        <v/>
      </c>
      <c r="G114" s="25"/>
    </row>
    <row r="115" customFormat="false" ht="15" hidden="false" customHeight="false" outlineLevel="0" collapsed="false">
      <c r="A115" s="24"/>
      <c r="B115" s="25"/>
      <c r="C115" s="26"/>
      <c r="D115" s="26"/>
      <c r="E115" s="27" t="str">
        <f aca="false">IF(OR(C115="",D115=""),"",ROUND(MOD(D115-C115,1)*1440,0))</f>
        <v/>
      </c>
      <c r="F115" s="27" t="str">
        <f aca="false">IF(C115="","",IF(D115="","Нет ответа",IF(E115&lt;=Расчёт!$C$6,"Быстро","Поздно")))</f>
        <v/>
      </c>
      <c r="G115" s="25"/>
    </row>
    <row r="116" customFormat="false" ht="15" hidden="false" customHeight="false" outlineLevel="0" collapsed="false">
      <c r="A116" s="24"/>
      <c r="B116" s="25"/>
      <c r="C116" s="26"/>
      <c r="D116" s="26"/>
      <c r="E116" s="27" t="str">
        <f aca="false">IF(OR(C116="",D116=""),"",ROUND(MOD(D116-C116,1)*1440,0))</f>
        <v/>
      </c>
      <c r="F116" s="27" t="str">
        <f aca="false">IF(C116="","",IF(D116="","Нет ответа",IF(E116&lt;=Расчёт!$C$6,"Быстро","Поздно")))</f>
        <v/>
      </c>
      <c r="G116" s="25"/>
    </row>
    <row r="117" customFormat="false" ht="15" hidden="false" customHeight="false" outlineLevel="0" collapsed="false">
      <c r="A117" s="24"/>
      <c r="B117" s="25"/>
      <c r="C117" s="26"/>
      <c r="D117" s="26"/>
      <c r="E117" s="27" t="str">
        <f aca="false">IF(OR(C117="",D117=""),"",ROUND(MOD(D117-C117,1)*1440,0))</f>
        <v/>
      </c>
      <c r="F117" s="27" t="str">
        <f aca="false">IF(C117="","",IF(D117="","Нет ответа",IF(E117&lt;=Расчёт!$C$6,"Быстро","Поздно")))</f>
        <v/>
      </c>
      <c r="G117" s="25"/>
    </row>
    <row r="118" customFormat="false" ht="15" hidden="false" customHeight="false" outlineLevel="0" collapsed="false">
      <c r="A118" s="24"/>
      <c r="B118" s="25"/>
      <c r="C118" s="26"/>
      <c r="D118" s="26"/>
      <c r="E118" s="27" t="str">
        <f aca="false">IF(OR(C118="",D118=""),"",ROUND(MOD(D118-C118,1)*1440,0))</f>
        <v/>
      </c>
      <c r="F118" s="27" t="str">
        <f aca="false">IF(C118="","",IF(D118="","Нет ответа",IF(E118&lt;=Расчёт!$C$6,"Быстро","Поздно")))</f>
        <v/>
      </c>
      <c r="G118" s="25"/>
    </row>
    <row r="119" customFormat="false" ht="15" hidden="false" customHeight="false" outlineLevel="0" collapsed="false">
      <c r="A119" s="24"/>
      <c r="B119" s="25"/>
      <c r="C119" s="26"/>
      <c r="D119" s="26"/>
      <c r="E119" s="27" t="str">
        <f aca="false">IF(OR(C119="",D119=""),"",ROUND(MOD(D119-C119,1)*1440,0))</f>
        <v/>
      </c>
      <c r="F119" s="27" t="str">
        <f aca="false">IF(C119="","",IF(D119="","Нет ответа",IF(E119&lt;=Расчёт!$C$6,"Быстро","Поздно")))</f>
        <v/>
      </c>
      <c r="G119" s="25"/>
    </row>
    <row r="120" customFormat="false" ht="15" hidden="false" customHeight="false" outlineLevel="0" collapsed="false">
      <c r="A120" s="24"/>
      <c r="B120" s="25"/>
      <c r="C120" s="26"/>
      <c r="D120" s="26"/>
      <c r="E120" s="27" t="str">
        <f aca="false">IF(OR(C120="",D120=""),"",ROUND(MOD(D120-C120,1)*1440,0))</f>
        <v/>
      </c>
      <c r="F120" s="27" t="str">
        <f aca="false">IF(C120="","",IF(D120="","Нет ответа",IF(E120&lt;=Расчёт!$C$6,"Быстро","Поздно")))</f>
        <v/>
      </c>
      <c r="G120" s="25"/>
    </row>
    <row r="121" customFormat="false" ht="15" hidden="false" customHeight="false" outlineLevel="0" collapsed="false">
      <c r="A121" s="24"/>
      <c r="B121" s="25"/>
      <c r="C121" s="26"/>
      <c r="D121" s="26"/>
      <c r="E121" s="27" t="str">
        <f aca="false">IF(OR(C121="",D121=""),"",ROUND(MOD(D121-C121,1)*1440,0))</f>
        <v/>
      </c>
      <c r="F121" s="27" t="str">
        <f aca="false">IF(C121="","",IF(D121="","Нет ответа",IF(E121&lt;=Расчёт!$C$6,"Быстро","Поздно")))</f>
        <v/>
      </c>
      <c r="G121" s="25"/>
    </row>
    <row r="122" customFormat="false" ht="15" hidden="false" customHeight="false" outlineLevel="0" collapsed="false">
      <c r="A122" s="24"/>
      <c r="B122" s="25"/>
      <c r="C122" s="26"/>
      <c r="D122" s="26"/>
      <c r="E122" s="27" t="str">
        <f aca="false">IF(OR(C122="",D122=""),"",ROUND(MOD(D122-C122,1)*1440,0))</f>
        <v/>
      </c>
      <c r="F122" s="27" t="str">
        <f aca="false">IF(C122="","",IF(D122="","Нет ответа",IF(E122&lt;=Расчёт!$C$6,"Быстро","Поздно")))</f>
        <v/>
      </c>
      <c r="G122" s="25"/>
    </row>
    <row r="123" customFormat="false" ht="15" hidden="false" customHeight="false" outlineLevel="0" collapsed="false">
      <c r="A123" s="24"/>
      <c r="B123" s="25"/>
      <c r="C123" s="26"/>
      <c r="D123" s="26"/>
      <c r="E123" s="27" t="str">
        <f aca="false">IF(OR(C123="",D123=""),"",ROUND(MOD(D123-C123,1)*1440,0))</f>
        <v/>
      </c>
      <c r="F123" s="27" t="str">
        <f aca="false">IF(C123="","",IF(D123="","Нет ответа",IF(E123&lt;=Расчёт!$C$6,"Быстро","Поздно")))</f>
        <v/>
      </c>
      <c r="G123" s="25"/>
    </row>
    <row r="124" customFormat="false" ht="15" hidden="false" customHeight="false" outlineLevel="0" collapsed="false">
      <c r="A124" s="24"/>
      <c r="B124" s="25"/>
      <c r="C124" s="26"/>
      <c r="D124" s="26"/>
      <c r="E124" s="27" t="str">
        <f aca="false">IF(OR(C124="",D124=""),"",ROUND(MOD(D124-C124,1)*1440,0))</f>
        <v/>
      </c>
      <c r="F124" s="27" t="str">
        <f aca="false">IF(C124="","",IF(D124="","Нет ответа",IF(E124&lt;=Расчёт!$C$6,"Быстро","Поздно")))</f>
        <v/>
      </c>
      <c r="G124" s="25"/>
    </row>
    <row r="125" customFormat="false" ht="15" hidden="false" customHeight="false" outlineLevel="0" collapsed="false">
      <c r="A125" s="24"/>
      <c r="B125" s="25"/>
      <c r="C125" s="26"/>
      <c r="D125" s="26"/>
      <c r="E125" s="27" t="str">
        <f aca="false">IF(OR(C125="",D125=""),"",ROUND(MOD(D125-C125,1)*1440,0))</f>
        <v/>
      </c>
      <c r="F125" s="27" t="str">
        <f aca="false">IF(C125="","",IF(D125="","Нет ответа",IF(E125&lt;=Расчёт!$C$6,"Быстро","Поздно")))</f>
        <v/>
      </c>
      <c r="G125" s="25"/>
    </row>
    <row r="126" customFormat="false" ht="15" hidden="false" customHeight="false" outlineLevel="0" collapsed="false">
      <c r="A126" s="24"/>
      <c r="B126" s="25"/>
      <c r="C126" s="26"/>
      <c r="D126" s="26"/>
      <c r="E126" s="27" t="str">
        <f aca="false">IF(OR(C126="",D126=""),"",ROUND(MOD(D126-C126,1)*1440,0))</f>
        <v/>
      </c>
      <c r="F126" s="27" t="str">
        <f aca="false">IF(C126="","",IF(D126="","Нет ответа",IF(E126&lt;=Расчёт!$C$6,"Быстро","Поздно")))</f>
        <v/>
      </c>
      <c r="G126" s="25"/>
    </row>
    <row r="127" customFormat="false" ht="15" hidden="false" customHeight="false" outlineLevel="0" collapsed="false">
      <c r="A127" s="24"/>
      <c r="B127" s="25"/>
      <c r="C127" s="26"/>
      <c r="D127" s="26"/>
      <c r="E127" s="27" t="str">
        <f aca="false">IF(OR(C127="",D127=""),"",ROUND(MOD(D127-C127,1)*1440,0))</f>
        <v/>
      </c>
      <c r="F127" s="27" t="str">
        <f aca="false">IF(C127="","",IF(D127="","Нет ответа",IF(E127&lt;=Расчёт!$C$6,"Быстро","Поздно")))</f>
        <v/>
      </c>
      <c r="G127" s="25"/>
    </row>
    <row r="128" customFormat="false" ht="15" hidden="false" customHeight="false" outlineLevel="0" collapsed="false">
      <c r="A128" s="24"/>
      <c r="B128" s="25"/>
      <c r="C128" s="26"/>
      <c r="D128" s="26"/>
      <c r="E128" s="27" t="str">
        <f aca="false">IF(OR(C128="",D128=""),"",ROUND(MOD(D128-C128,1)*1440,0))</f>
        <v/>
      </c>
      <c r="F128" s="27" t="str">
        <f aca="false">IF(C128="","",IF(D128="","Нет ответа",IF(E128&lt;=Расчёт!$C$6,"Быстро","Поздно")))</f>
        <v/>
      </c>
      <c r="G128" s="25"/>
    </row>
    <row r="129" customFormat="false" ht="15" hidden="false" customHeight="false" outlineLevel="0" collapsed="false">
      <c r="A129" s="24"/>
      <c r="B129" s="25"/>
      <c r="C129" s="26"/>
      <c r="D129" s="26"/>
      <c r="E129" s="27" t="str">
        <f aca="false">IF(OR(C129="",D129=""),"",ROUND(MOD(D129-C129,1)*1440,0))</f>
        <v/>
      </c>
      <c r="F129" s="27" t="str">
        <f aca="false">IF(C129="","",IF(D129="","Нет ответа",IF(E129&lt;=Расчёт!$C$6,"Быстро","Поздно")))</f>
        <v/>
      </c>
      <c r="G129" s="25"/>
    </row>
    <row r="130" customFormat="false" ht="15" hidden="false" customHeight="false" outlineLevel="0" collapsed="false">
      <c r="A130" s="24"/>
      <c r="B130" s="25"/>
      <c r="C130" s="26"/>
      <c r="D130" s="26"/>
      <c r="E130" s="27" t="str">
        <f aca="false">IF(OR(C130="",D130=""),"",ROUND(MOD(D130-C130,1)*1440,0))</f>
        <v/>
      </c>
      <c r="F130" s="27" t="str">
        <f aca="false">IF(C130="","",IF(D130="","Нет ответа",IF(E130&lt;=Расчёт!$C$6,"Быстро","Поздно")))</f>
        <v/>
      </c>
      <c r="G130" s="25"/>
    </row>
    <row r="131" customFormat="false" ht="15" hidden="false" customHeight="false" outlineLevel="0" collapsed="false">
      <c r="A131" s="24"/>
      <c r="B131" s="25"/>
      <c r="C131" s="26"/>
      <c r="D131" s="26"/>
      <c r="E131" s="27" t="str">
        <f aca="false">IF(OR(C131="",D131=""),"",ROUND(MOD(D131-C131,1)*1440,0))</f>
        <v/>
      </c>
      <c r="F131" s="27" t="str">
        <f aca="false">IF(C131="","",IF(D131="","Нет ответа",IF(E131&lt;=Расчёт!$C$6,"Быстро","Поздно")))</f>
        <v/>
      </c>
      <c r="G131" s="25"/>
    </row>
    <row r="132" customFormat="false" ht="15" hidden="false" customHeight="false" outlineLevel="0" collapsed="false">
      <c r="A132" s="24"/>
      <c r="B132" s="25"/>
      <c r="C132" s="26"/>
      <c r="D132" s="26"/>
      <c r="E132" s="27" t="str">
        <f aca="false">IF(OR(C132="",D132=""),"",ROUND(MOD(D132-C132,1)*1440,0))</f>
        <v/>
      </c>
      <c r="F132" s="27" t="str">
        <f aca="false">IF(C132="","",IF(D132="","Нет ответа",IF(E132&lt;=Расчёт!$C$6,"Быстро","Поздно")))</f>
        <v/>
      </c>
      <c r="G132" s="25"/>
    </row>
    <row r="133" customFormat="false" ht="15" hidden="false" customHeight="false" outlineLevel="0" collapsed="false">
      <c r="A133" s="24"/>
      <c r="B133" s="25"/>
      <c r="C133" s="26"/>
      <c r="D133" s="26"/>
      <c r="E133" s="27" t="str">
        <f aca="false">IF(OR(C133="",D133=""),"",ROUND(MOD(D133-C133,1)*1440,0))</f>
        <v/>
      </c>
      <c r="F133" s="27" t="str">
        <f aca="false">IF(C133="","",IF(D133="","Нет ответа",IF(E133&lt;=Расчёт!$C$6,"Быстро","Поздно")))</f>
        <v/>
      </c>
      <c r="G133" s="25"/>
    </row>
    <row r="134" customFormat="false" ht="15" hidden="false" customHeight="false" outlineLevel="0" collapsed="false">
      <c r="A134" s="24"/>
      <c r="B134" s="25"/>
      <c r="C134" s="26"/>
      <c r="D134" s="26"/>
      <c r="E134" s="27" t="str">
        <f aca="false">IF(OR(C134="",D134=""),"",ROUND(MOD(D134-C134,1)*1440,0))</f>
        <v/>
      </c>
      <c r="F134" s="27" t="str">
        <f aca="false">IF(C134="","",IF(D134="","Нет ответа",IF(E134&lt;=Расчёт!$C$6,"Быстро","Поздно")))</f>
        <v/>
      </c>
      <c r="G134" s="25"/>
    </row>
    <row r="135" customFormat="false" ht="15" hidden="false" customHeight="false" outlineLevel="0" collapsed="false">
      <c r="A135" s="24"/>
      <c r="B135" s="25"/>
      <c r="C135" s="26"/>
      <c r="D135" s="26"/>
      <c r="E135" s="27" t="str">
        <f aca="false">IF(OR(C135="",D135=""),"",ROUND(MOD(D135-C135,1)*1440,0))</f>
        <v/>
      </c>
      <c r="F135" s="27" t="str">
        <f aca="false">IF(C135="","",IF(D135="","Нет ответа",IF(E135&lt;=Расчёт!$C$6,"Быстро","Поздно")))</f>
        <v/>
      </c>
      <c r="G135" s="25"/>
    </row>
    <row r="136" customFormat="false" ht="15" hidden="false" customHeight="false" outlineLevel="0" collapsed="false">
      <c r="A136" s="24"/>
      <c r="B136" s="25"/>
      <c r="C136" s="26"/>
      <c r="D136" s="26"/>
      <c r="E136" s="27" t="str">
        <f aca="false">IF(OR(C136="",D136=""),"",ROUND(MOD(D136-C136,1)*1440,0))</f>
        <v/>
      </c>
      <c r="F136" s="27" t="str">
        <f aca="false">IF(C136="","",IF(D136="","Нет ответа",IF(E136&lt;=Расчёт!$C$6,"Быстро","Поздно")))</f>
        <v/>
      </c>
      <c r="G136" s="25"/>
    </row>
    <row r="137" customFormat="false" ht="15" hidden="false" customHeight="false" outlineLevel="0" collapsed="false">
      <c r="A137" s="24"/>
      <c r="B137" s="25"/>
      <c r="C137" s="26"/>
      <c r="D137" s="26"/>
      <c r="E137" s="27" t="str">
        <f aca="false">IF(OR(C137="",D137=""),"",ROUND(MOD(D137-C137,1)*1440,0))</f>
        <v/>
      </c>
      <c r="F137" s="27" t="str">
        <f aca="false">IF(C137="","",IF(D137="","Нет ответа",IF(E137&lt;=Расчёт!$C$6,"Быстро","Поздно")))</f>
        <v/>
      </c>
      <c r="G137" s="25"/>
    </row>
    <row r="138" customFormat="false" ht="15" hidden="false" customHeight="false" outlineLevel="0" collapsed="false">
      <c r="A138" s="24"/>
      <c r="B138" s="25"/>
      <c r="C138" s="26"/>
      <c r="D138" s="26"/>
      <c r="E138" s="27" t="str">
        <f aca="false">IF(OR(C138="",D138=""),"",ROUND(MOD(D138-C138,1)*1440,0))</f>
        <v/>
      </c>
      <c r="F138" s="27" t="str">
        <f aca="false">IF(C138="","",IF(D138="","Нет ответа",IF(E138&lt;=Расчёт!$C$6,"Быстро","Поздно")))</f>
        <v/>
      </c>
      <c r="G138" s="25"/>
    </row>
    <row r="139" customFormat="false" ht="15" hidden="false" customHeight="false" outlineLevel="0" collapsed="false">
      <c r="A139" s="24"/>
      <c r="B139" s="25"/>
      <c r="C139" s="26"/>
      <c r="D139" s="26"/>
      <c r="E139" s="27" t="str">
        <f aca="false">IF(OR(C139="",D139=""),"",ROUND(MOD(D139-C139,1)*1440,0))</f>
        <v/>
      </c>
      <c r="F139" s="27" t="str">
        <f aca="false">IF(C139="","",IF(D139="","Нет ответа",IF(E139&lt;=Расчёт!$C$6,"Быстро","Поздно")))</f>
        <v/>
      </c>
      <c r="G139" s="25"/>
    </row>
    <row r="140" customFormat="false" ht="15" hidden="false" customHeight="false" outlineLevel="0" collapsed="false">
      <c r="A140" s="24"/>
      <c r="B140" s="25"/>
      <c r="C140" s="26"/>
      <c r="D140" s="26"/>
      <c r="E140" s="27" t="str">
        <f aca="false">IF(OR(C140="",D140=""),"",ROUND(MOD(D140-C140,1)*1440,0))</f>
        <v/>
      </c>
      <c r="F140" s="27" t="str">
        <f aca="false">IF(C140="","",IF(D140="","Нет ответа",IF(E140&lt;=Расчёт!$C$6,"Быстро","Поздно")))</f>
        <v/>
      </c>
      <c r="G140" s="25"/>
    </row>
    <row r="141" customFormat="false" ht="15" hidden="false" customHeight="false" outlineLevel="0" collapsed="false">
      <c r="A141" s="24"/>
      <c r="B141" s="25"/>
      <c r="C141" s="26"/>
      <c r="D141" s="26"/>
      <c r="E141" s="27" t="str">
        <f aca="false">IF(OR(C141="",D141=""),"",ROUND(MOD(D141-C141,1)*1440,0))</f>
        <v/>
      </c>
      <c r="F141" s="27" t="str">
        <f aca="false">IF(C141="","",IF(D141="","Нет ответа",IF(E141&lt;=Расчёт!$C$6,"Быстро","Поздно")))</f>
        <v/>
      </c>
      <c r="G141" s="25"/>
    </row>
    <row r="142" customFormat="false" ht="15" hidden="false" customHeight="false" outlineLevel="0" collapsed="false">
      <c r="A142" s="24"/>
      <c r="B142" s="25"/>
      <c r="C142" s="26"/>
      <c r="D142" s="26"/>
      <c r="E142" s="27" t="str">
        <f aca="false">IF(OR(C142="",D142=""),"",ROUND(MOD(D142-C142,1)*1440,0))</f>
        <v/>
      </c>
      <c r="F142" s="27" t="str">
        <f aca="false">IF(C142="","",IF(D142="","Нет ответа",IF(E142&lt;=Расчёт!$C$6,"Быстро","Поздно")))</f>
        <v/>
      </c>
      <c r="G142" s="25"/>
    </row>
    <row r="143" customFormat="false" ht="15" hidden="false" customHeight="false" outlineLevel="0" collapsed="false">
      <c r="A143" s="24"/>
      <c r="B143" s="25"/>
      <c r="C143" s="26"/>
      <c r="D143" s="26"/>
      <c r="E143" s="27" t="str">
        <f aca="false">IF(OR(C143="",D143=""),"",ROUND(MOD(D143-C143,1)*1440,0))</f>
        <v/>
      </c>
      <c r="F143" s="27" t="str">
        <f aca="false">IF(C143="","",IF(D143="","Нет ответа",IF(E143&lt;=Расчёт!$C$6,"Быстро","Поздно")))</f>
        <v/>
      </c>
      <c r="G143" s="25"/>
    </row>
    <row r="144" customFormat="false" ht="15" hidden="false" customHeight="false" outlineLevel="0" collapsed="false">
      <c r="A144" s="24"/>
      <c r="B144" s="25"/>
      <c r="C144" s="26"/>
      <c r="D144" s="26"/>
      <c r="E144" s="27" t="str">
        <f aca="false">IF(OR(C144="",D144=""),"",ROUND(MOD(D144-C144,1)*1440,0))</f>
        <v/>
      </c>
      <c r="F144" s="27" t="str">
        <f aca="false">IF(C144="","",IF(D144="","Нет ответа",IF(E144&lt;=Расчёт!$C$6,"Быстро","Поздно")))</f>
        <v/>
      </c>
      <c r="G144" s="25"/>
    </row>
    <row r="145" customFormat="false" ht="15" hidden="false" customHeight="false" outlineLevel="0" collapsed="false">
      <c r="A145" s="24"/>
      <c r="B145" s="25"/>
      <c r="C145" s="26"/>
      <c r="D145" s="26"/>
      <c r="E145" s="27" t="str">
        <f aca="false">IF(OR(C145="",D145=""),"",ROUND(MOD(D145-C145,1)*1440,0))</f>
        <v/>
      </c>
      <c r="F145" s="27" t="str">
        <f aca="false">IF(C145="","",IF(D145="","Нет ответа",IF(E145&lt;=Расчёт!$C$6,"Быстро","Поздно")))</f>
        <v/>
      </c>
      <c r="G145" s="25"/>
    </row>
    <row r="146" customFormat="false" ht="15" hidden="false" customHeight="false" outlineLevel="0" collapsed="false">
      <c r="A146" s="24"/>
      <c r="B146" s="25"/>
      <c r="C146" s="26"/>
      <c r="D146" s="26"/>
      <c r="E146" s="27" t="str">
        <f aca="false">IF(OR(C146="",D146=""),"",ROUND(MOD(D146-C146,1)*1440,0))</f>
        <v/>
      </c>
      <c r="F146" s="27" t="str">
        <f aca="false">IF(C146="","",IF(D146="","Нет ответа",IF(E146&lt;=Расчёт!$C$6,"Быстро","Поздно")))</f>
        <v/>
      </c>
      <c r="G146" s="25"/>
    </row>
    <row r="147" customFormat="false" ht="15" hidden="false" customHeight="false" outlineLevel="0" collapsed="false">
      <c r="A147" s="24"/>
      <c r="B147" s="25"/>
      <c r="C147" s="26"/>
      <c r="D147" s="26"/>
      <c r="E147" s="27" t="str">
        <f aca="false">IF(OR(C147="",D147=""),"",ROUND(MOD(D147-C147,1)*1440,0))</f>
        <v/>
      </c>
      <c r="F147" s="27" t="str">
        <f aca="false">IF(C147="","",IF(D147="","Нет ответа",IF(E147&lt;=Расчёт!$C$6,"Быстро","Поздно")))</f>
        <v/>
      </c>
      <c r="G147" s="25"/>
    </row>
    <row r="148" customFormat="false" ht="15" hidden="false" customHeight="false" outlineLevel="0" collapsed="false">
      <c r="A148" s="24"/>
      <c r="B148" s="25"/>
      <c r="C148" s="26"/>
      <c r="D148" s="26"/>
      <c r="E148" s="27" t="str">
        <f aca="false">IF(OR(C148="",D148=""),"",ROUND(MOD(D148-C148,1)*1440,0))</f>
        <v/>
      </c>
      <c r="F148" s="27" t="str">
        <f aca="false">IF(C148="","",IF(D148="","Нет ответа",IF(E148&lt;=Расчёт!$C$6,"Быстро","Поздно")))</f>
        <v/>
      </c>
      <c r="G148" s="25"/>
    </row>
    <row r="149" customFormat="false" ht="15" hidden="false" customHeight="false" outlineLevel="0" collapsed="false">
      <c r="A149" s="24"/>
      <c r="B149" s="25"/>
      <c r="C149" s="26"/>
      <c r="D149" s="26"/>
      <c r="E149" s="27" t="str">
        <f aca="false">IF(OR(C149="",D149=""),"",ROUND(MOD(D149-C149,1)*1440,0))</f>
        <v/>
      </c>
      <c r="F149" s="27" t="str">
        <f aca="false">IF(C149="","",IF(D149="","Нет ответа",IF(E149&lt;=Расчёт!$C$6,"Быстро","Поздно")))</f>
        <v/>
      </c>
      <c r="G149" s="25"/>
    </row>
    <row r="150" customFormat="false" ht="15" hidden="false" customHeight="false" outlineLevel="0" collapsed="false">
      <c r="A150" s="24"/>
      <c r="B150" s="25"/>
      <c r="C150" s="26"/>
      <c r="D150" s="26"/>
      <c r="E150" s="27" t="str">
        <f aca="false">IF(OR(C150="",D150=""),"",ROUND(MOD(D150-C150,1)*1440,0))</f>
        <v/>
      </c>
      <c r="F150" s="27" t="str">
        <f aca="false">IF(C150="","",IF(D150="","Нет ответа",IF(E150&lt;=Расчёт!$C$6,"Быстро","Поздно")))</f>
        <v/>
      </c>
      <c r="G150" s="25"/>
    </row>
    <row r="151" customFormat="false" ht="15" hidden="false" customHeight="false" outlineLevel="0" collapsed="false">
      <c r="A151" s="24"/>
      <c r="B151" s="25"/>
      <c r="C151" s="26"/>
      <c r="D151" s="26"/>
      <c r="E151" s="27" t="str">
        <f aca="false">IF(OR(C151="",D151=""),"",ROUND(MOD(D151-C151,1)*1440,0))</f>
        <v/>
      </c>
      <c r="F151" s="27" t="str">
        <f aca="false">IF(C151="","",IF(D151="","Нет ответа",IF(E151&lt;=Расчёт!$C$6,"Быстро","Поздно")))</f>
        <v/>
      </c>
      <c r="G151" s="25"/>
    </row>
    <row r="152" customFormat="false" ht="15" hidden="false" customHeight="false" outlineLevel="0" collapsed="false">
      <c r="A152" s="24"/>
      <c r="B152" s="25"/>
      <c r="C152" s="26"/>
      <c r="D152" s="26"/>
      <c r="E152" s="27" t="str">
        <f aca="false">IF(OR(C152="",D152=""),"",ROUND(MOD(D152-C152,1)*1440,0))</f>
        <v/>
      </c>
      <c r="F152" s="27" t="str">
        <f aca="false">IF(C152="","",IF(D152="","Нет ответа",IF(E152&lt;=Расчёт!$C$6,"Быстро","Поздно")))</f>
        <v/>
      </c>
      <c r="G152" s="25"/>
    </row>
    <row r="153" customFormat="false" ht="15" hidden="false" customHeight="false" outlineLevel="0" collapsed="false">
      <c r="A153" s="24"/>
      <c r="B153" s="25"/>
      <c r="C153" s="26"/>
      <c r="D153" s="26"/>
      <c r="E153" s="27" t="str">
        <f aca="false">IF(OR(C153="",D153=""),"",ROUND(MOD(D153-C153,1)*1440,0))</f>
        <v/>
      </c>
      <c r="F153" s="27" t="str">
        <f aca="false">IF(C153="","",IF(D153="","Нет ответа",IF(E153&lt;=Расчёт!$C$6,"Быстро","Поздно")))</f>
        <v/>
      </c>
      <c r="G153" s="25"/>
    </row>
    <row r="154" customFormat="false" ht="15" hidden="false" customHeight="false" outlineLevel="0" collapsed="false">
      <c r="A154" s="24"/>
      <c r="B154" s="25"/>
      <c r="C154" s="26"/>
      <c r="D154" s="26"/>
      <c r="E154" s="27" t="str">
        <f aca="false">IF(OR(C154="",D154=""),"",ROUND(MOD(D154-C154,1)*1440,0))</f>
        <v/>
      </c>
      <c r="F154" s="27" t="str">
        <f aca="false">IF(C154="","",IF(D154="","Нет ответа",IF(E154&lt;=Расчёт!$C$6,"Быстро","Поздно")))</f>
        <v/>
      </c>
      <c r="G154" s="25"/>
    </row>
    <row r="155" customFormat="false" ht="15" hidden="false" customHeight="false" outlineLevel="0" collapsed="false">
      <c r="A155" s="24"/>
      <c r="B155" s="25"/>
      <c r="C155" s="26"/>
      <c r="D155" s="26"/>
      <c r="E155" s="27" t="str">
        <f aca="false">IF(OR(C155="",D155=""),"",ROUND(MOD(D155-C155,1)*1440,0))</f>
        <v/>
      </c>
      <c r="F155" s="27" t="str">
        <f aca="false">IF(C155="","",IF(D155="","Нет ответа",IF(E155&lt;=Расчёт!$C$6,"Быстро","Поздно")))</f>
        <v/>
      </c>
      <c r="G155" s="25"/>
    </row>
    <row r="156" customFormat="false" ht="15" hidden="false" customHeight="false" outlineLevel="0" collapsed="false">
      <c r="A156" s="24"/>
      <c r="B156" s="25"/>
      <c r="C156" s="26"/>
      <c r="D156" s="26"/>
      <c r="E156" s="27" t="str">
        <f aca="false">IF(OR(C156="",D156=""),"",ROUND(MOD(D156-C156,1)*1440,0))</f>
        <v/>
      </c>
      <c r="F156" s="27" t="str">
        <f aca="false">IF(C156="","",IF(D156="","Нет ответа",IF(E156&lt;=Расчёт!$C$6,"Быстро","Поздно")))</f>
        <v/>
      </c>
      <c r="G156" s="25"/>
    </row>
    <row r="157" customFormat="false" ht="15" hidden="false" customHeight="false" outlineLevel="0" collapsed="false">
      <c r="A157" s="24"/>
      <c r="B157" s="25"/>
      <c r="C157" s="26"/>
      <c r="D157" s="26"/>
      <c r="E157" s="27" t="str">
        <f aca="false">IF(OR(C157="",D157=""),"",ROUND(MOD(D157-C157,1)*1440,0))</f>
        <v/>
      </c>
      <c r="F157" s="27" t="str">
        <f aca="false">IF(C157="","",IF(D157="","Нет ответа",IF(E157&lt;=Расчёт!$C$6,"Быстро","Поздно")))</f>
        <v/>
      </c>
      <c r="G157" s="25"/>
    </row>
    <row r="158" customFormat="false" ht="15" hidden="false" customHeight="false" outlineLevel="0" collapsed="false">
      <c r="A158" s="24"/>
      <c r="B158" s="25"/>
      <c r="C158" s="26"/>
      <c r="D158" s="26"/>
      <c r="E158" s="27" t="str">
        <f aca="false">IF(OR(C158="",D158=""),"",ROUND(MOD(D158-C158,1)*1440,0))</f>
        <v/>
      </c>
      <c r="F158" s="27" t="str">
        <f aca="false">IF(C158="","",IF(D158="","Нет ответа",IF(E158&lt;=Расчёт!$C$6,"Быстро","Поздно")))</f>
        <v/>
      </c>
      <c r="G158" s="25"/>
    </row>
    <row r="159" customFormat="false" ht="15" hidden="false" customHeight="false" outlineLevel="0" collapsed="false">
      <c r="A159" s="24"/>
      <c r="B159" s="25"/>
      <c r="C159" s="26"/>
      <c r="D159" s="26"/>
      <c r="E159" s="27" t="str">
        <f aca="false">IF(OR(C159="",D159=""),"",ROUND(MOD(D159-C159,1)*1440,0))</f>
        <v/>
      </c>
      <c r="F159" s="27" t="str">
        <f aca="false">IF(C159="","",IF(D159="","Нет ответа",IF(E159&lt;=Расчёт!$C$6,"Быстро","Поздно")))</f>
        <v/>
      </c>
      <c r="G159" s="25"/>
    </row>
    <row r="160" customFormat="false" ht="15" hidden="false" customHeight="false" outlineLevel="0" collapsed="false">
      <c r="A160" s="24"/>
      <c r="B160" s="25"/>
      <c r="C160" s="26"/>
      <c r="D160" s="26"/>
      <c r="E160" s="27" t="str">
        <f aca="false">IF(OR(C160="",D160=""),"",ROUND(MOD(D160-C160,1)*1440,0))</f>
        <v/>
      </c>
      <c r="F160" s="27" t="str">
        <f aca="false">IF(C160="","",IF(D160="","Нет ответа",IF(E160&lt;=Расчёт!$C$6,"Быстро","Поздно")))</f>
        <v/>
      </c>
      <c r="G160" s="25"/>
    </row>
    <row r="161" customFormat="false" ht="15" hidden="false" customHeight="false" outlineLevel="0" collapsed="false">
      <c r="A161" s="24"/>
      <c r="B161" s="25"/>
      <c r="C161" s="26"/>
      <c r="D161" s="26"/>
      <c r="E161" s="27" t="str">
        <f aca="false">IF(OR(C161="",D161=""),"",ROUND(MOD(D161-C161,1)*1440,0))</f>
        <v/>
      </c>
      <c r="F161" s="27" t="str">
        <f aca="false">IF(C161="","",IF(D161="","Нет ответа",IF(E161&lt;=Расчёт!$C$6,"Быстро","Поздно")))</f>
        <v/>
      </c>
      <c r="G161" s="25"/>
    </row>
    <row r="162" customFormat="false" ht="15" hidden="false" customHeight="false" outlineLevel="0" collapsed="false">
      <c r="A162" s="24"/>
      <c r="B162" s="25"/>
      <c r="C162" s="26"/>
      <c r="D162" s="26"/>
      <c r="E162" s="27" t="str">
        <f aca="false">IF(OR(C162="",D162=""),"",ROUND(MOD(D162-C162,1)*1440,0))</f>
        <v/>
      </c>
      <c r="F162" s="27" t="str">
        <f aca="false">IF(C162="","",IF(D162="","Нет ответа",IF(E162&lt;=Расчёт!$C$6,"Быстро","Поздно")))</f>
        <v/>
      </c>
      <c r="G162" s="25"/>
    </row>
    <row r="163" customFormat="false" ht="15" hidden="false" customHeight="false" outlineLevel="0" collapsed="false">
      <c r="A163" s="24"/>
      <c r="B163" s="25"/>
      <c r="C163" s="26"/>
      <c r="D163" s="26"/>
      <c r="E163" s="27" t="str">
        <f aca="false">IF(OR(C163="",D163=""),"",ROUND(MOD(D163-C163,1)*1440,0))</f>
        <v/>
      </c>
      <c r="F163" s="27" t="str">
        <f aca="false">IF(C163="","",IF(D163="","Нет ответа",IF(E163&lt;=Расчёт!$C$6,"Быстро","Поздно")))</f>
        <v/>
      </c>
      <c r="G163" s="25"/>
    </row>
    <row r="164" customFormat="false" ht="15" hidden="false" customHeight="false" outlineLevel="0" collapsed="false">
      <c r="A164" s="24"/>
      <c r="B164" s="25"/>
      <c r="C164" s="26"/>
      <c r="D164" s="26"/>
      <c r="E164" s="27" t="str">
        <f aca="false">IF(OR(C164="",D164=""),"",ROUND(MOD(D164-C164,1)*1440,0))</f>
        <v/>
      </c>
      <c r="F164" s="27" t="str">
        <f aca="false">IF(C164="","",IF(D164="","Нет ответа",IF(E164&lt;=Расчёт!$C$6,"Быстро","Поздно")))</f>
        <v/>
      </c>
      <c r="G164" s="25"/>
    </row>
    <row r="165" customFormat="false" ht="15" hidden="false" customHeight="false" outlineLevel="0" collapsed="false">
      <c r="A165" s="24"/>
      <c r="B165" s="25"/>
      <c r="C165" s="26"/>
      <c r="D165" s="26"/>
      <c r="E165" s="27" t="str">
        <f aca="false">IF(OR(C165="",D165=""),"",ROUND(MOD(D165-C165,1)*1440,0))</f>
        <v/>
      </c>
      <c r="F165" s="27" t="str">
        <f aca="false">IF(C165="","",IF(D165="","Нет ответа",IF(E165&lt;=Расчёт!$C$6,"Быстро","Поздно")))</f>
        <v/>
      </c>
      <c r="G165" s="25"/>
    </row>
    <row r="166" customFormat="false" ht="15" hidden="false" customHeight="false" outlineLevel="0" collapsed="false">
      <c r="A166" s="24"/>
      <c r="B166" s="25"/>
      <c r="C166" s="26"/>
      <c r="D166" s="26"/>
      <c r="E166" s="27" t="str">
        <f aca="false">IF(OR(C166="",D166=""),"",ROUND(MOD(D166-C166,1)*1440,0))</f>
        <v/>
      </c>
      <c r="F166" s="27" t="str">
        <f aca="false">IF(C166="","",IF(D166="","Нет ответа",IF(E166&lt;=Расчёт!$C$6,"Быстро","Поздно")))</f>
        <v/>
      </c>
      <c r="G166" s="25"/>
    </row>
    <row r="167" customFormat="false" ht="15" hidden="false" customHeight="false" outlineLevel="0" collapsed="false">
      <c r="A167" s="24"/>
      <c r="B167" s="25"/>
      <c r="C167" s="26"/>
      <c r="D167" s="26"/>
      <c r="E167" s="27" t="str">
        <f aca="false">IF(OR(C167="",D167=""),"",ROUND(MOD(D167-C167,1)*1440,0))</f>
        <v/>
      </c>
      <c r="F167" s="27" t="str">
        <f aca="false">IF(C167="","",IF(D167="","Нет ответа",IF(E167&lt;=Расчёт!$C$6,"Быстро","Поздно")))</f>
        <v/>
      </c>
      <c r="G167" s="25"/>
    </row>
    <row r="168" customFormat="false" ht="15" hidden="false" customHeight="false" outlineLevel="0" collapsed="false">
      <c r="A168" s="24"/>
      <c r="B168" s="25"/>
      <c r="C168" s="26"/>
      <c r="D168" s="26"/>
      <c r="E168" s="27" t="str">
        <f aca="false">IF(OR(C168="",D168=""),"",ROUND(MOD(D168-C168,1)*1440,0))</f>
        <v/>
      </c>
      <c r="F168" s="27" t="str">
        <f aca="false">IF(C168="","",IF(D168="","Нет ответа",IF(E168&lt;=Расчёт!$C$6,"Быстро","Поздно")))</f>
        <v/>
      </c>
      <c r="G168" s="25"/>
    </row>
    <row r="169" customFormat="false" ht="15" hidden="false" customHeight="false" outlineLevel="0" collapsed="false">
      <c r="A169" s="24"/>
      <c r="B169" s="25"/>
      <c r="C169" s="26"/>
      <c r="D169" s="26"/>
      <c r="E169" s="27" t="str">
        <f aca="false">IF(OR(C169="",D169=""),"",ROUND(MOD(D169-C169,1)*1440,0))</f>
        <v/>
      </c>
      <c r="F169" s="27" t="str">
        <f aca="false">IF(C169="","",IF(D169="","Нет ответа",IF(E169&lt;=Расчёт!$C$6,"Быстро","Поздно")))</f>
        <v/>
      </c>
      <c r="G169" s="25"/>
    </row>
    <row r="170" customFormat="false" ht="15" hidden="false" customHeight="false" outlineLevel="0" collapsed="false">
      <c r="A170" s="24"/>
      <c r="B170" s="25"/>
      <c r="C170" s="26"/>
      <c r="D170" s="26"/>
      <c r="E170" s="27" t="str">
        <f aca="false">IF(OR(C170="",D170=""),"",ROUND(MOD(D170-C170,1)*1440,0))</f>
        <v/>
      </c>
      <c r="F170" s="27" t="str">
        <f aca="false">IF(C170="","",IF(D170="","Нет ответа",IF(E170&lt;=Расчёт!$C$6,"Быстро","Поздно")))</f>
        <v/>
      </c>
      <c r="G170" s="25"/>
    </row>
    <row r="171" customFormat="false" ht="15" hidden="false" customHeight="false" outlineLevel="0" collapsed="false">
      <c r="A171" s="24"/>
      <c r="B171" s="25"/>
      <c r="C171" s="26"/>
      <c r="D171" s="26"/>
      <c r="E171" s="27" t="str">
        <f aca="false">IF(OR(C171="",D171=""),"",ROUND(MOD(D171-C171,1)*1440,0))</f>
        <v/>
      </c>
      <c r="F171" s="27" t="str">
        <f aca="false">IF(C171="","",IF(D171="","Нет ответа",IF(E171&lt;=Расчёт!$C$6,"Быстро","Поздно")))</f>
        <v/>
      </c>
      <c r="G171" s="25"/>
    </row>
    <row r="172" customFormat="false" ht="15" hidden="false" customHeight="false" outlineLevel="0" collapsed="false">
      <c r="A172" s="24"/>
      <c r="B172" s="25"/>
      <c r="C172" s="26"/>
      <c r="D172" s="26"/>
      <c r="E172" s="27" t="str">
        <f aca="false">IF(OR(C172="",D172=""),"",ROUND(MOD(D172-C172,1)*1440,0))</f>
        <v/>
      </c>
      <c r="F172" s="27" t="str">
        <f aca="false">IF(C172="","",IF(D172="","Нет ответа",IF(E172&lt;=Расчёт!$C$6,"Быстро","Поздно")))</f>
        <v/>
      </c>
      <c r="G172" s="25"/>
    </row>
    <row r="173" customFormat="false" ht="15" hidden="false" customHeight="false" outlineLevel="0" collapsed="false">
      <c r="A173" s="24"/>
      <c r="B173" s="25"/>
      <c r="C173" s="26"/>
      <c r="D173" s="26"/>
      <c r="E173" s="27" t="str">
        <f aca="false">IF(OR(C173="",D173=""),"",ROUND(MOD(D173-C173,1)*1440,0))</f>
        <v/>
      </c>
      <c r="F173" s="27" t="str">
        <f aca="false">IF(C173="","",IF(D173="","Нет ответа",IF(E173&lt;=Расчёт!$C$6,"Быстро","Поздно")))</f>
        <v/>
      </c>
      <c r="G173" s="25"/>
    </row>
    <row r="174" customFormat="false" ht="15" hidden="false" customHeight="false" outlineLevel="0" collapsed="false">
      <c r="A174" s="24"/>
      <c r="B174" s="25"/>
      <c r="C174" s="26"/>
      <c r="D174" s="26"/>
      <c r="E174" s="27" t="str">
        <f aca="false">IF(OR(C174="",D174=""),"",ROUND(MOD(D174-C174,1)*1440,0))</f>
        <v/>
      </c>
      <c r="F174" s="27" t="str">
        <f aca="false">IF(C174="","",IF(D174="","Нет ответа",IF(E174&lt;=Расчёт!$C$6,"Быстро","Поздно")))</f>
        <v/>
      </c>
      <c r="G174" s="25"/>
    </row>
    <row r="175" customFormat="false" ht="15" hidden="false" customHeight="false" outlineLevel="0" collapsed="false">
      <c r="A175" s="24"/>
      <c r="B175" s="25"/>
      <c r="C175" s="26"/>
      <c r="D175" s="26"/>
      <c r="E175" s="27" t="str">
        <f aca="false">IF(OR(C175="",D175=""),"",ROUND(MOD(D175-C175,1)*1440,0))</f>
        <v/>
      </c>
      <c r="F175" s="27" t="str">
        <f aca="false">IF(C175="","",IF(D175="","Нет ответа",IF(E175&lt;=Расчёт!$C$6,"Быстро","Поздно")))</f>
        <v/>
      </c>
      <c r="G175" s="25"/>
    </row>
    <row r="176" customFormat="false" ht="15" hidden="false" customHeight="false" outlineLevel="0" collapsed="false">
      <c r="A176" s="24"/>
      <c r="B176" s="25"/>
      <c r="C176" s="26"/>
      <c r="D176" s="26"/>
      <c r="E176" s="27" t="str">
        <f aca="false">IF(OR(C176="",D176=""),"",ROUND(MOD(D176-C176,1)*1440,0))</f>
        <v/>
      </c>
      <c r="F176" s="27" t="str">
        <f aca="false">IF(C176="","",IF(D176="","Нет ответа",IF(E176&lt;=Расчёт!$C$6,"Быстро","Поздно")))</f>
        <v/>
      </c>
      <c r="G176" s="25"/>
    </row>
    <row r="177" customFormat="false" ht="15" hidden="false" customHeight="false" outlineLevel="0" collapsed="false">
      <c r="A177" s="24"/>
      <c r="B177" s="25"/>
      <c r="C177" s="26"/>
      <c r="D177" s="26"/>
      <c r="E177" s="27" t="str">
        <f aca="false">IF(OR(C177="",D177=""),"",ROUND(MOD(D177-C177,1)*1440,0))</f>
        <v/>
      </c>
      <c r="F177" s="27" t="str">
        <f aca="false">IF(C177="","",IF(D177="","Нет ответа",IF(E177&lt;=Расчёт!$C$6,"Быстро","Поздно")))</f>
        <v/>
      </c>
      <c r="G177" s="25"/>
    </row>
    <row r="178" customFormat="false" ht="15" hidden="false" customHeight="false" outlineLevel="0" collapsed="false">
      <c r="A178" s="24"/>
      <c r="B178" s="25"/>
      <c r="C178" s="26"/>
      <c r="D178" s="26"/>
      <c r="E178" s="27" t="str">
        <f aca="false">IF(OR(C178="",D178=""),"",ROUND(MOD(D178-C178,1)*1440,0))</f>
        <v/>
      </c>
      <c r="F178" s="27" t="str">
        <f aca="false">IF(C178="","",IF(D178="","Нет ответа",IF(E178&lt;=Расчёт!$C$6,"Быстро","Поздно")))</f>
        <v/>
      </c>
      <c r="G178" s="25"/>
    </row>
    <row r="179" customFormat="false" ht="15" hidden="false" customHeight="false" outlineLevel="0" collapsed="false">
      <c r="A179" s="24"/>
      <c r="B179" s="25"/>
      <c r="C179" s="26"/>
      <c r="D179" s="26"/>
      <c r="E179" s="27" t="str">
        <f aca="false">IF(OR(C179="",D179=""),"",ROUND(MOD(D179-C179,1)*1440,0))</f>
        <v/>
      </c>
      <c r="F179" s="27" t="str">
        <f aca="false">IF(C179="","",IF(D179="","Нет ответа",IF(E179&lt;=Расчёт!$C$6,"Быстро","Поздно")))</f>
        <v/>
      </c>
      <c r="G179" s="25"/>
    </row>
    <row r="180" customFormat="false" ht="15" hidden="false" customHeight="false" outlineLevel="0" collapsed="false">
      <c r="A180" s="24"/>
      <c r="B180" s="25"/>
      <c r="C180" s="26"/>
      <c r="D180" s="26"/>
      <c r="E180" s="27" t="str">
        <f aca="false">IF(OR(C180="",D180=""),"",ROUND(MOD(D180-C180,1)*1440,0))</f>
        <v/>
      </c>
      <c r="F180" s="27" t="str">
        <f aca="false">IF(C180="","",IF(D180="","Нет ответа",IF(E180&lt;=Расчёт!$C$6,"Быстро","Поздно")))</f>
        <v/>
      </c>
      <c r="G180" s="25"/>
    </row>
    <row r="181" customFormat="false" ht="15" hidden="false" customHeight="false" outlineLevel="0" collapsed="false">
      <c r="A181" s="24"/>
      <c r="B181" s="25"/>
      <c r="C181" s="26"/>
      <c r="D181" s="26"/>
      <c r="E181" s="27" t="str">
        <f aca="false">IF(OR(C181="",D181=""),"",ROUND(MOD(D181-C181,1)*1440,0))</f>
        <v/>
      </c>
      <c r="F181" s="27" t="str">
        <f aca="false">IF(C181="","",IF(D181="","Нет ответа",IF(E181&lt;=Расчёт!$C$6,"Быстро","Поздно")))</f>
        <v/>
      </c>
      <c r="G181" s="25"/>
    </row>
    <row r="182" customFormat="false" ht="15" hidden="false" customHeight="false" outlineLevel="0" collapsed="false">
      <c r="A182" s="24"/>
      <c r="B182" s="25"/>
      <c r="C182" s="26"/>
      <c r="D182" s="26"/>
      <c r="E182" s="27" t="str">
        <f aca="false">IF(OR(C182="",D182=""),"",ROUND(MOD(D182-C182,1)*1440,0))</f>
        <v/>
      </c>
      <c r="F182" s="27" t="str">
        <f aca="false">IF(C182="","",IF(D182="","Нет ответа",IF(E182&lt;=Расчёт!$C$6,"Быстро","Поздно")))</f>
        <v/>
      </c>
      <c r="G182" s="25"/>
    </row>
    <row r="183" customFormat="false" ht="15" hidden="false" customHeight="false" outlineLevel="0" collapsed="false">
      <c r="A183" s="24"/>
      <c r="B183" s="25"/>
      <c r="C183" s="26"/>
      <c r="D183" s="26"/>
      <c r="E183" s="27" t="str">
        <f aca="false">IF(OR(C183="",D183=""),"",ROUND(MOD(D183-C183,1)*1440,0))</f>
        <v/>
      </c>
      <c r="F183" s="27" t="str">
        <f aca="false">IF(C183="","",IF(D183="","Нет ответа",IF(E183&lt;=Расчёт!$C$6,"Быстро","Поздно")))</f>
        <v/>
      </c>
      <c r="G183" s="25"/>
    </row>
    <row r="184" customFormat="false" ht="15" hidden="false" customHeight="false" outlineLevel="0" collapsed="false">
      <c r="A184" s="24"/>
      <c r="B184" s="25"/>
      <c r="C184" s="26"/>
      <c r="D184" s="26"/>
      <c r="E184" s="27" t="str">
        <f aca="false">IF(OR(C184="",D184=""),"",ROUND(MOD(D184-C184,1)*1440,0))</f>
        <v/>
      </c>
      <c r="F184" s="27" t="str">
        <f aca="false">IF(C184="","",IF(D184="","Нет ответа",IF(E184&lt;=Расчёт!$C$6,"Быстро","Поздно")))</f>
        <v/>
      </c>
      <c r="G184" s="25"/>
    </row>
    <row r="185" customFormat="false" ht="15" hidden="false" customHeight="false" outlineLevel="0" collapsed="false">
      <c r="A185" s="24"/>
      <c r="B185" s="25"/>
      <c r="C185" s="26"/>
      <c r="D185" s="26"/>
      <c r="E185" s="27" t="str">
        <f aca="false">IF(OR(C185="",D185=""),"",ROUND(MOD(D185-C185,1)*1440,0))</f>
        <v/>
      </c>
      <c r="F185" s="27" t="str">
        <f aca="false">IF(C185="","",IF(D185="","Нет ответа",IF(E185&lt;=Расчёт!$C$6,"Быстро","Поздно")))</f>
        <v/>
      </c>
      <c r="G185" s="25"/>
    </row>
    <row r="186" customFormat="false" ht="15" hidden="false" customHeight="false" outlineLevel="0" collapsed="false">
      <c r="A186" s="24"/>
      <c r="B186" s="25"/>
      <c r="C186" s="26"/>
      <c r="D186" s="26"/>
      <c r="E186" s="27" t="str">
        <f aca="false">IF(OR(C186="",D186=""),"",ROUND(MOD(D186-C186,1)*1440,0))</f>
        <v/>
      </c>
      <c r="F186" s="27" t="str">
        <f aca="false">IF(C186="","",IF(D186="","Нет ответа",IF(E186&lt;=Расчёт!$C$6,"Быстро","Поздно")))</f>
        <v/>
      </c>
      <c r="G186" s="25"/>
    </row>
    <row r="187" customFormat="false" ht="15" hidden="false" customHeight="false" outlineLevel="0" collapsed="false">
      <c r="A187" s="24"/>
      <c r="B187" s="25"/>
      <c r="C187" s="26"/>
      <c r="D187" s="26"/>
      <c r="E187" s="27" t="str">
        <f aca="false">IF(OR(C187="",D187=""),"",ROUND(MOD(D187-C187,1)*1440,0))</f>
        <v/>
      </c>
      <c r="F187" s="27" t="str">
        <f aca="false">IF(C187="","",IF(D187="","Нет ответа",IF(E187&lt;=Расчёт!$C$6,"Быстро","Поздно")))</f>
        <v/>
      </c>
      <c r="G187" s="25"/>
    </row>
    <row r="188" customFormat="false" ht="15" hidden="false" customHeight="false" outlineLevel="0" collapsed="false">
      <c r="A188" s="24"/>
      <c r="B188" s="25"/>
      <c r="C188" s="26"/>
      <c r="D188" s="26"/>
      <c r="E188" s="27" t="str">
        <f aca="false">IF(OR(C188="",D188=""),"",ROUND(MOD(D188-C188,1)*1440,0))</f>
        <v/>
      </c>
      <c r="F188" s="27" t="str">
        <f aca="false">IF(C188="","",IF(D188="","Нет ответа",IF(E188&lt;=Расчёт!$C$6,"Быстро","Поздно")))</f>
        <v/>
      </c>
      <c r="G188" s="25"/>
    </row>
    <row r="189" customFormat="false" ht="15" hidden="false" customHeight="false" outlineLevel="0" collapsed="false">
      <c r="A189" s="24"/>
      <c r="B189" s="25"/>
      <c r="C189" s="26"/>
      <c r="D189" s="26"/>
      <c r="E189" s="27" t="str">
        <f aca="false">IF(OR(C189="",D189=""),"",ROUND(MOD(D189-C189,1)*1440,0))</f>
        <v/>
      </c>
      <c r="F189" s="27" t="str">
        <f aca="false">IF(C189="","",IF(D189="","Нет ответа",IF(E189&lt;=Расчёт!$C$6,"Быстро","Поздно")))</f>
        <v/>
      </c>
      <c r="G189" s="25"/>
    </row>
    <row r="190" customFormat="false" ht="15" hidden="false" customHeight="false" outlineLevel="0" collapsed="false">
      <c r="A190" s="24"/>
      <c r="B190" s="25"/>
      <c r="C190" s="26"/>
      <c r="D190" s="26"/>
      <c r="E190" s="27" t="str">
        <f aca="false">IF(OR(C190="",D190=""),"",ROUND(MOD(D190-C190,1)*1440,0))</f>
        <v/>
      </c>
      <c r="F190" s="27" t="str">
        <f aca="false">IF(C190="","",IF(D190="","Нет ответа",IF(E190&lt;=Расчёт!$C$6,"Быстро","Поздно")))</f>
        <v/>
      </c>
      <c r="G190" s="25"/>
    </row>
    <row r="191" customFormat="false" ht="15" hidden="false" customHeight="false" outlineLevel="0" collapsed="false">
      <c r="A191" s="24"/>
      <c r="B191" s="25"/>
      <c r="C191" s="26"/>
      <c r="D191" s="26"/>
      <c r="E191" s="27" t="str">
        <f aca="false">IF(OR(C191="",D191=""),"",ROUND(MOD(D191-C191,1)*1440,0))</f>
        <v/>
      </c>
      <c r="F191" s="27" t="str">
        <f aca="false">IF(C191="","",IF(D191="","Нет ответа",IF(E191&lt;=Расчёт!$C$6,"Быстро","Поздно")))</f>
        <v/>
      </c>
      <c r="G191" s="25"/>
    </row>
    <row r="192" customFormat="false" ht="15" hidden="false" customHeight="false" outlineLevel="0" collapsed="false">
      <c r="A192" s="24"/>
      <c r="B192" s="25"/>
      <c r="C192" s="26"/>
      <c r="D192" s="26"/>
      <c r="E192" s="27" t="str">
        <f aca="false">IF(OR(C192="",D192=""),"",ROUND(MOD(D192-C192,1)*1440,0))</f>
        <v/>
      </c>
      <c r="F192" s="27" t="str">
        <f aca="false">IF(C192="","",IF(D192="","Нет ответа",IF(E192&lt;=Расчёт!$C$6,"Быстро","Поздно")))</f>
        <v/>
      </c>
      <c r="G192" s="25"/>
    </row>
    <row r="193" customFormat="false" ht="15" hidden="false" customHeight="false" outlineLevel="0" collapsed="false">
      <c r="A193" s="24"/>
      <c r="B193" s="25"/>
      <c r="C193" s="26"/>
      <c r="D193" s="26"/>
      <c r="E193" s="27" t="str">
        <f aca="false">IF(OR(C193="",D193=""),"",ROUND(MOD(D193-C193,1)*1440,0))</f>
        <v/>
      </c>
      <c r="F193" s="27" t="str">
        <f aca="false">IF(C193="","",IF(D193="","Нет ответа",IF(E193&lt;=Расчёт!$C$6,"Быстро","Поздно")))</f>
        <v/>
      </c>
      <c r="G193" s="25"/>
    </row>
    <row r="194" customFormat="false" ht="15" hidden="false" customHeight="false" outlineLevel="0" collapsed="false">
      <c r="A194" s="24"/>
      <c r="B194" s="25"/>
      <c r="C194" s="26"/>
      <c r="D194" s="26"/>
      <c r="E194" s="27" t="str">
        <f aca="false">IF(OR(C194="",D194=""),"",ROUND(MOD(D194-C194,1)*1440,0))</f>
        <v/>
      </c>
      <c r="F194" s="27" t="str">
        <f aca="false">IF(C194="","",IF(D194="","Нет ответа",IF(E194&lt;=Расчёт!$C$6,"Быстро","Поздно")))</f>
        <v/>
      </c>
      <c r="G194" s="25"/>
    </row>
    <row r="195" customFormat="false" ht="15" hidden="false" customHeight="false" outlineLevel="0" collapsed="false">
      <c r="A195" s="24"/>
      <c r="B195" s="25"/>
      <c r="C195" s="26"/>
      <c r="D195" s="26"/>
      <c r="E195" s="27" t="str">
        <f aca="false">IF(OR(C195="",D195=""),"",ROUND(MOD(D195-C195,1)*1440,0))</f>
        <v/>
      </c>
      <c r="F195" s="27" t="str">
        <f aca="false">IF(C195="","",IF(D195="","Нет ответа",IF(E195&lt;=Расчёт!$C$6,"Быстро","Поздно")))</f>
        <v/>
      </c>
      <c r="G195" s="25"/>
    </row>
    <row r="196" customFormat="false" ht="15" hidden="false" customHeight="false" outlineLevel="0" collapsed="false">
      <c r="A196" s="24"/>
      <c r="B196" s="25"/>
      <c r="C196" s="26"/>
      <c r="D196" s="26"/>
      <c r="E196" s="27" t="str">
        <f aca="false">IF(OR(C196="",D196=""),"",ROUND(MOD(D196-C196,1)*1440,0))</f>
        <v/>
      </c>
      <c r="F196" s="27" t="str">
        <f aca="false">IF(C196="","",IF(D196="","Нет ответа",IF(E196&lt;=Расчёт!$C$6,"Быстро","Поздно")))</f>
        <v/>
      </c>
      <c r="G196" s="25"/>
    </row>
    <row r="197" customFormat="false" ht="15" hidden="false" customHeight="false" outlineLevel="0" collapsed="false">
      <c r="A197" s="24"/>
      <c r="B197" s="25"/>
      <c r="C197" s="26"/>
      <c r="D197" s="26"/>
      <c r="E197" s="27" t="str">
        <f aca="false">IF(OR(C197="",D197=""),"",ROUND(MOD(D197-C197,1)*1440,0))</f>
        <v/>
      </c>
      <c r="F197" s="27" t="str">
        <f aca="false">IF(C197="","",IF(D197="","Нет ответа",IF(E197&lt;=Расчёт!$C$6,"Быстро","Поздно")))</f>
        <v/>
      </c>
      <c r="G197" s="25"/>
    </row>
    <row r="198" customFormat="false" ht="15" hidden="false" customHeight="false" outlineLevel="0" collapsed="false">
      <c r="A198" s="24"/>
      <c r="B198" s="25"/>
      <c r="C198" s="26"/>
      <c r="D198" s="26"/>
      <c r="E198" s="27" t="str">
        <f aca="false">IF(OR(C198="",D198=""),"",ROUND(MOD(D198-C198,1)*1440,0))</f>
        <v/>
      </c>
      <c r="F198" s="27" t="str">
        <f aca="false">IF(C198="","",IF(D198="","Нет ответа",IF(E198&lt;=Расчёт!$C$6,"Быстро","Поздно")))</f>
        <v/>
      </c>
      <c r="G198" s="25"/>
    </row>
    <row r="199" customFormat="false" ht="15" hidden="false" customHeight="false" outlineLevel="0" collapsed="false">
      <c r="A199" s="24"/>
      <c r="B199" s="25"/>
      <c r="C199" s="26"/>
      <c r="D199" s="26"/>
      <c r="E199" s="27" t="str">
        <f aca="false">IF(OR(C199="",D199=""),"",ROUND(MOD(D199-C199,1)*1440,0))</f>
        <v/>
      </c>
      <c r="F199" s="27" t="str">
        <f aca="false">IF(C199="","",IF(D199="","Нет ответа",IF(E199&lt;=Расчёт!$C$6,"Быстро","Поздно")))</f>
        <v/>
      </c>
      <c r="G199" s="25"/>
    </row>
    <row r="200" customFormat="false" ht="15" hidden="false" customHeight="false" outlineLevel="0" collapsed="false">
      <c r="A200" s="24"/>
      <c r="B200" s="25"/>
      <c r="C200" s="26"/>
      <c r="D200" s="26"/>
      <c r="E200" s="27" t="str">
        <f aca="false">IF(OR(C200="",D200=""),"",ROUND(MOD(D200-C200,1)*1440,0))</f>
        <v/>
      </c>
      <c r="F200" s="27" t="str">
        <f aca="false">IF(C200="","",IF(D200="","Нет ответа",IF(E200&lt;=Расчёт!$C$6,"Быстро","Поздно")))</f>
        <v/>
      </c>
      <c r="G200" s="25"/>
    </row>
    <row r="201" customFormat="false" ht="15" hidden="false" customHeight="false" outlineLevel="0" collapsed="false">
      <c r="A201" s="24"/>
      <c r="B201" s="25"/>
      <c r="C201" s="26"/>
      <c r="D201" s="26"/>
      <c r="E201" s="27" t="str">
        <f aca="false">IF(OR(C201="",D201=""),"",ROUND(MOD(D201-C201,1)*1440,0))</f>
        <v/>
      </c>
      <c r="F201" s="27" t="str">
        <f aca="false">IF(C201="","",IF(D201="","Нет ответа",IF(E201&lt;=Расчёт!$C$6,"Быстро","Поздно")))</f>
        <v/>
      </c>
      <c r="G201" s="25"/>
    </row>
    <row r="202" customFormat="false" ht="15" hidden="false" customHeight="false" outlineLevel="0" collapsed="false">
      <c r="A202" s="24"/>
      <c r="B202" s="25"/>
      <c r="C202" s="26"/>
      <c r="D202" s="26"/>
      <c r="E202" s="27" t="str">
        <f aca="false">IF(OR(C202="",D202=""),"",ROUND(MOD(D202-C202,1)*1440,0))</f>
        <v/>
      </c>
      <c r="F202" s="27" t="str">
        <f aca="false">IF(C202="","",IF(D202="","Нет ответа",IF(E202&lt;=Расчёт!$C$6,"Быстро","Поздно")))</f>
        <v/>
      </c>
      <c r="G202" s="25"/>
    </row>
  </sheetData>
  <mergeCells count="1">
    <mergeCell ref="A1:G1"/>
  </mergeCells>
  <dataValidations count="2">
    <dataValidation allowBlank="true" errorStyle="stop" operator="between" showDropDown="false" showErrorMessage="false" showInputMessage="false" sqref="G3:G202" type="list">
      <formula1>"да,нет"</formula1>
      <formula2>0</formula2>
    </dataValidation>
    <dataValidation allowBlank="true" errorStyle="stop" operator="between" showDropDown="false" showErrorMessage="false" showInputMessage="false" sqref="B3:B202" type="list">
      <formula1>"Звонок,Мессенджер,Форма на сайте,Директ,Почта,Другое"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2026-10-10T05:12:52Z</dcterms:created>
  <dc:creator>openpyxl</dc:creator>
  <dc:description/>
  <dc:language>en-US</dc:language>
  <cp:lastModifiedBy/>
  <dcterms:modified xsi:type="dcterms:W3CDTF">2026-10-10T05:12:53Z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